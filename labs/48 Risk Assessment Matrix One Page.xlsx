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D:\00 Documents\2018_11_Project_Management\PMBOK Tool Kit\Templates\"/>
    </mc:Choice>
  </mc:AlternateContent>
  <xr:revisionPtr revIDLastSave="0" documentId="13_ncr:1_{2823766E-8653-4A98-B1B8-FBEF26D9BAF0}" xr6:coauthVersionLast="47" xr6:coauthVersionMax="47" xr10:uidLastSave="{00000000-0000-0000-0000-000000000000}"/>
  <bookViews>
    <workbookView xWindow="-108" yWindow="-108" windowWidth="23256" windowHeight="12576" xr2:uid="{00000000-000D-0000-FFFF-FFFF00000000}"/>
  </bookViews>
  <sheets>
    <sheet name="Risk Assessment One Page" sheetId="1" r:id="rId1"/>
    <sheet name="©" sheetId="4" r:id="rId2"/>
  </sheets>
  <definedNames>
    <definedName name="_xlnm._FilterDatabase" localSheetId="0" hidden="1">'Risk Assessment One Page'!$B$5:$M$5</definedName>
    <definedName name="InherentImpact">'Risk Assessment One Page'!$G$6:$G$32</definedName>
    <definedName name="InherentProbability">'Risk Assessment One Page'!$F$6:$F$32</definedName>
    <definedName name="ResidualImpact">'Risk Assessment One Page'!$L$6:$L$32</definedName>
    <definedName name="ResidualProbability">'Risk Assessment One Page'!$K$6:$K$32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4" i="1" l="1"/>
  <c r="L33" i="1"/>
  <c r="K33" i="1"/>
  <c r="K34" i="1" s="1"/>
  <c r="M34" i="1" s="1"/>
  <c r="F34" i="1"/>
  <c r="G34" i="1"/>
  <c r="G33" i="1"/>
  <c r="F33" i="1"/>
  <c r="H34" i="1" l="1"/>
  <c r="B32" i="1" l="1"/>
  <c r="B31" i="1"/>
  <c r="B30" i="1"/>
  <c r="B29" i="1"/>
  <c r="B28" i="1"/>
  <c r="B27" i="1"/>
  <c r="B26" i="1"/>
  <c r="B25" i="1"/>
  <c r="B24" i="1"/>
  <c r="B23" i="1"/>
  <c r="B22" i="1"/>
  <c r="B21" i="1"/>
  <c r="B20" i="1"/>
  <c r="B19" i="1"/>
  <c r="B18" i="1"/>
  <c r="B17" i="1"/>
  <c r="B16" i="1"/>
  <c r="B15" i="1"/>
  <c r="B14" i="1"/>
  <c r="B13" i="1"/>
  <c r="B12" i="1"/>
  <c r="B11" i="1"/>
  <c r="B10" i="1"/>
  <c r="B9" i="1"/>
  <c r="B8" i="1"/>
  <c r="B6" i="1"/>
  <c r="B7" i="1" s="1"/>
  <c r="U24" i="1"/>
  <c r="T24" i="1"/>
  <c r="S24" i="1"/>
  <c r="R24" i="1"/>
  <c r="Q24" i="1"/>
  <c r="U23" i="1"/>
  <c r="T23" i="1"/>
  <c r="S23" i="1"/>
  <c r="R23" i="1"/>
  <c r="Q23" i="1"/>
  <c r="U22" i="1"/>
  <c r="T22" i="1"/>
  <c r="S22" i="1"/>
  <c r="R22" i="1"/>
  <c r="Q22" i="1"/>
  <c r="U21" i="1"/>
  <c r="T21" i="1"/>
  <c r="S21" i="1"/>
  <c r="R21" i="1"/>
  <c r="Q21" i="1"/>
  <c r="U20" i="1"/>
  <c r="T20" i="1"/>
  <c r="S20" i="1"/>
  <c r="R20" i="1"/>
  <c r="Q20" i="1"/>
  <c r="U17" i="1"/>
  <c r="T17" i="1"/>
  <c r="S17" i="1"/>
  <c r="R17" i="1"/>
  <c r="Q17" i="1"/>
  <c r="U16" i="1"/>
  <c r="T16" i="1"/>
  <c r="S16" i="1"/>
  <c r="R16" i="1"/>
  <c r="Q16" i="1"/>
  <c r="U15" i="1"/>
  <c r="T15" i="1"/>
  <c r="S15" i="1"/>
  <c r="R15" i="1"/>
  <c r="Q15" i="1"/>
  <c r="U14" i="1"/>
  <c r="T14" i="1"/>
  <c r="S14" i="1"/>
  <c r="R14" i="1"/>
  <c r="Q14" i="1"/>
  <c r="U13" i="1"/>
  <c r="T13" i="1"/>
  <c r="S13" i="1"/>
  <c r="R13" i="1"/>
  <c r="Q13" i="1"/>
  <c r="M29" i="1"/>
  <c r="H25" i="1"/>
  <c r="M25" i="1"/>
  <c r="H26" i="1"/>
  <c r="M26" i="1"/>
  <c r="H27" i="1"/>
  <c r="M27" i="1"/>
  <c r="H28" i="1"/>
  <c r="M28" i="1"/>
  <c r="H29" i="1"/>
  <c r="H30" i="1"/>
  <c r="M30" i="1"/>
  <c r="H31" i="1"/>
  <c r="M31" i="1"/>
  <c r="H32" i="1"/>
  <c r="M32" i="1"/>
  <c r="H17" i="1"/>
  <c r="M22" i="1"/>
  <c r="M23" i="1"/>
  <c r="M24" i="1"/>
  <c r="M14" i="1"/>
  <c r="M15" i="1"/>
  <c r="M16" i="1"/>
  <c r="M17" i="1"/>
  <c r="M18" i="1"/>
  <c r="M19" i="1"/>
  <c r="M20" i="1"/>
  <c r="M21" i="1"/>
  <c r="M9" i="1"/>
  <c r="M10" i="1"/>
  <c r="M11" i="1"/>
  <c r="M12" i="1"/>
  <c r="M13" i="1"/>
  <c r="M7" i="1"/>
  <c r="M8" i="1"/>
  <c r="M6" i="1"/>
  <c r="H19" i="1"/>
  <c r="H20" i="1"/>
  <c r="H21" i="1"/>
  <c r="H22" i="1"/>
  <c r="H23" i="1"/>
  <c r="H14" i="1"/>
  <c r="H15" i="1"/>
  <c r="H16" i="1"/>
  <c r="H18" i="1"/>
  <c r="R5" i="1" l="1"/>
  <c r="P24" i="1"/>
  <c r="P23" i="1"/>
  <c r="P22" i="1"/>
  <c r="P21" i="1"/>
  <c r="P20" i="1"/>
  <c r="U19" i="1"/>
  <c r="T19" i="1"/>
  <c r="S19" i="1"/>
  <c r="R19" i="1"/>
  <c r="Q19" i="1"/>
  <c r="P17" i="1"/>
  <c r="P16" i="1"/>
  <c r="P15" i="1"/>
  <c r="P14" i="1"/>
  <c r="P13" i="1"/>
  <c r="U12" i="1"/>
  <c r="T12" i="1"/>
  <c r="S12" i="1"/>
  <c r="R12" i="1"/>
  <c r="Q12" i="1"/>
  <c r="P10" i="1"/>
  <c r="P9" i="1"/>
  <c r="P8" i="1"/>
  <c r="P7" i="1"/>
  <c r="P6" i="1"/>
  <c r="U5" i="1"/>
  <c r="T5" i="1"/>
  <c r="S5" i="1"/>
  <c r="Q5" i="1"/>
  <c r="H7" i="1" l="1"/>
  <c r="H11" i="1"/>
  <c r="H13" i="1"/>
  <c r="H12" i="1"/>
  <c r="H10" i="1"/>
  <c r="H9" i="1"/>
  <c r="H6" i="1"/>
  <c r="H24" i="1"/>
  <c r="H8" i="1"/>
</calcChain>
</file>

<file path=xl/sharedStrings.xml><?xml version="1.0" encoding="utf-8"?>
<sst xmlns="http://schemas.openxmlformats.org/spreadsheetml/2006/main" count="138" uniqueCount="51">
  <si>
    <t>Unique ID</t>
  </si>
  <si>
    <t>Risk Assessment</t>
  </si>
  <si>
    <t>Impact</t>
  </si>
  <si>
    <t>Probability</t>
  </si>
  <si>
    <t>Risk Rating</t>
  </si>
  <si>
    <t>Control (s)</t>
  </si>
  <si>
    <t>Residual Probability</t>
  </si>
  <si>
    <t>Residual Impact</t>
  </si>
  <si>
    <t>Residual Risk Rating</t>
  </si>
  <si>
    <t>Inherent Risk
(Without controls)</t>
  </si>
  <si>
    <t>Residual Risk
(with controls)</t>
  </si>
  <si>
    <t>Risk Description</t>
  </si>
  <si>
    <t>Caused by &amp;
Consequences</t>
  </si>
  <si>
    <t>Low</t>
  </si>
  <si>
    <t>Medium</t>
  </si>
  <si>
    <t>High</t>
  </si>
  <si>
    <t>Sustainable</t>
  </si>
  <si>
    <t>Moderate</t>
  </si>
  <si>
    <t>Severe</t>
  </si>
  <si>
    <t>Critical</t>
  </si>
  <si>
    <t>Impact:</t>
  </si>
  <si>
    <t>Very Low</t>
  </si>
  <si>
    <t>Very High</t>
  </si>
  <si>
    <r>
      <t xml:space="preserve">Risk Owner (s)
</t>
    </r>
    <r>
      <rPr>
        <b/>
        <i/>
        <sz val="11"/>
        <color theme="0"/>
        <rFont val="Calibri"/>
        <family val="2"/>
        <scheme val="minor"/>
      </rPr>
      <t>Name and Role</t>
    </r>
  </si>
  <si>
    <r>
      <t xml:space="preserve">Control Owner (s)
</t>
    </r>
    <r>
      <rPr>
        <b/>
        <i/>
        <sz val="11"/>
        <color theme="0"/>
        <rFont val="Calibri"/>
        <family val="2"/>
        <scheme val="minor"/>
      </rPr>
      <t>Name and Role</t>
    </r>
  </si>
  <si>
    <t>Risk Matrix</t>
  </si>
  <si>
    <t>Master Risk Matrix</t>
  </si>
  <si>
    <t>Inherent Risk Matrix (before Controls)</t>
  </si>
  <si>
    <r>
      <t xml:space="preserve"> </t>
    </r>
    <r>
      <rPr>
        <b/>
        <sz val="9"/>
        <color theme="1"/>
        <rFont val="Arial"/>
        <family val="2"/>
      </rPr>
      <t xml:space="preserve">Change these items </t>
    </r>
    <r>
      <rPr>
        <sz val="9"/>
        <color theme="1"/>
        <rFont val="Arial"/>
        <family val="2"/>
      </rPr>
      <t>to change the way you measure Probability and Impact ►</t>
    </r>
  </si>
  <si>
    <t>Residual Risk Matrix (after Controls)</t>
  </si>
  <si>
    <t xml:space="preserve">Caused by: 
Consequences: 
</t>
  </si>
  <si>
    <t>Date last updated:</t>
  </si>
  <si>
    <t xml:space="preserve">Jemima Hamilton, VP Sales;
</t>
  </si>
  <si>
    <t>Project or Area</t>
  </si>
  <si>
    <t>Updated by:</t>
  </si>
  <si>
    <t>Area Name:</t>
  </si>
  <si>
    <t>Risk 1</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</si>
  <si>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</si>
  <si>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</si>
  <si>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</si>
  <si>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</si>
  <si>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</si>
  <si>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Risk Assessment Template</t>
  </si>
  <si>
    <t>When you enter risks, the numbers to the left will appear automatically.</t>
  </si>
  <si>
    <t>Do not delete this worksheet.</t>
  </si>
  <si>
    <r>
      <rPr>
        <b/>
        <sz val="10"/>
        <color theme="1"/>
        <rFont val="Calibri"/>
        <family val="2"/>
        <scheme val="minor"/>
      </rPr>
      <t>Note:</t>
    </r>
    <r>
      <rPr>
        <sz val="10"/>
        <color theme="1"/>
        <rFont val="Calibri"/>
        <family val="2"/>
        <scheme val="minor"/>
      </rPr>
      <t xml:space="preserve"> DO NOT edit the table below - change the values to the right in the blue table to update how you measure Probability and Impact in this Matrix</t>
    </r>
  </si>
  <si>
    <t>©  2024  David McLachlan</t>
  </si>
  <si>
    <t>Overall Inherent Risk Number</t>
  </si>
  <si>
    <t>Overall Inherent Risk Rating</t>
  </si>
  <si>
    <t>Overall Residual Risk Number</t>
  </si>
  <si>
    <t>Overall Residual Risk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</si>
</sst>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b/>
      <sz val="11"/>
      <color theme="0"/>
      <name val="Calibri"/>
      <family val="2"/>
      <scheme val="minor"/>
    </font>
    <font>
      <sz val="11"/>
      <color theme="0"/>
      <name val="Calibri"/>
      <family val="2"/>
      <scheme val="minor"/>
    </font>
    <font>
      <sz val="11"/>
      <color theme="1" tint="0.34998626667073579"/>
      <name val="Calibri"/>
      <family val="2"/>
      <scheme val="minor"/>
    </font>
    <font>
      <sz val="10"/>
      <color theme="1" tint="0.34998626667073579"/>
      <name val="Calibri"/>
      <family val="2"/>
      <scheme val="minor"/>
    </font>
    <font>
      <sz val="11"/>
      <name val="Calibri"/>
      <family val="2"/>
      <scheme val="minor"/>
    </font>
    <font>
      <sz val="12"/>
      <color theme="1" tint="0.14999847407452621"/>
      <name val="Calibri"/>
      <family val="2"/>
      <scheme val="minor"/>
    </font>
    <font>
      <sz val="12"/>
      <color theme="1"/>
      <name val="Calibri"/>
      <family val="2"/>
      <scheme val="minor"/>
    </font>
    <font>
      <sz val="14"/>
      <color theme="1"/>
      <name val="Calibri"/>
      <family val="2"/>
      <scheme val="minor"/>
    </font>
    <font>
      <sz val="20"/>
      <color theme="1"/>
      <name val="Calibri"/>
      <family val="2"/>
      <scheme val="minor"/>
    </font>
    <font>
      <b/>
      <i/>
      <sz val="11"/>
      <color theme="0"/>
      <name val="Calibri"/>
      <family val="2"/>
      <scheme val="minor"/>
    </font>
    <font>
      <sz val="16"/>
      <color theme="1"/>
      <name val="Calibri"/>
      <family val="2"/>
      <scheme val="minor"/>
    </font>
    <font>
      <sz val="11"/>
      <color theme="1"/>
      <name val="Arial"/>
      <family val="2"/>
    </font>
    <font>
      <sz val="9"/>
      <color theme="1"/>
      <name val="Arial"/>
      <family val="2"/>
    </font>
    <font>
      <b/>
      <sz val="9"/>
      <color theme="1"/>
      <name val="Arial"/>
      <family val="2"/>
    </font>
    <font>
      <sz val="24"/>
      <color theme="0"/>
      <name val="Calibri"/>
      <family val="2"/>
      <scheme val="minor"/>
    </font>
    <font>
      <sz val="9"/>
      <color theme="1" tint="0.34998626667073579"/>
      <name val="Calibri"/>
      <family val="2"/>
      <scheme val="minor"/>
    </font>
    <font>
      <b/>
      <sz val="11"/>
      <color theme="0"/>
      <name val="Arial"/>
      <family val="2"/>
    </font>
    <font>
      <b/>
      <sz val="16"/>
      <color theme="0"/>
      <name val="Arial"/>
      <family val="2"/>
    </font>
    <font>
      <sz val="12"/>
      <color theme="1"/>
      <name val="Arial"/>
      <family val="2"/>
    </font>
    <font>
      <b/>
      <sz val="12"/>
      <color theme="1"/>
      <name val="Arial"/>
      <family val="2"/>
    </font>
    <font>
      <i/>
      <sz val="14"/>
      <color theme="1"/>
      <name val="Arial"/>
      <family val="2"/>
    </font>
    <font>
      <sz val="10"/>
      <color theme="1"/>
      <name val="Calibri"/>
      <family val="2"/>
      <scheme val="minor"/>
    </font>
    <font>
      <b/>
      <sz val="10"/>
      <color theme="1"/>
      <name val="Calibri"/>
      <family val="2"/>
      <scheme val="minor"/>
    </font>
    <font>
      <sz val="12"/>
      <color theme="0"/>
      <name val="Calibri"/>
      <family val="2"/>
      <scheme val="minor"/>
    </font>
    <font>
      <b/>
      <sz val="12"/>
      <color theme="1"/>
      <name val="Calibri"/>
      <family val="2"/>
      <scheme val="minor"/>
    </font>
  </fonts>
  <fills count="13">
    <fill>
      <patternFill patternType="none"/>
    </fill>
    <fill>
      <patternFill patternType="gray125"/>
    </fill>
    <fill>
      <patternFill patternType="solid">
        <fgColor theme="3"/>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7C80"/>
        <bgColor indexed="64"/>
      </patternFill>
    </fill>
    <fill>
      <patternFill patternType="solid">
        <fgColor theme="0" tint="-4.9989318521683403E-2"/>
        <bgColor indexed="64"/>
      </patternFill>
    </fill>
    <fill>
      <patternFill patternType="solid">
        <fgColor theme="0"/>
        <bgColor indexed="64"/>
      </patternFill>
    </fill>
    <fill>
      <patternFill patternType="solid">
        <fgColor rgb="FF8FB9AB"/>
        <bgColor indexed="64"/>
      </patternFill>
    </fill>
    <fill>
      <patternFill patternType="solid">
        <fgColor rgb="FF8497B0"/>
        <bgColor indexed="64"/>
      </patternFill>
    </fill>
    <fill>
      <patternFill patternType="solid">
        <fgColor rgb="FFFDDBB1"/>
        <bgColor indexed="64"/>
      </patternFill>
    </fill>
  </fills>
  <borders count="45">
    <border>
      <left/>
      <right/>
      <top/>
      <bottom/>
      <diagonal/>
    </border>
    <border>
      <left style="medium">
        <color indexed="64"/>
      </left>
      <right/>
      <top style="medium">
        <color indexed="64"/>
      </top>
      <bottom style="thin">
        <color indexed="64"/>
      </bottom>
      <diagonal/>
    </border>
    <border>
      <left style="medium">
        <color indexed="64"/>
      </left>
      <right/>
      <top style="dashed">
        <color theme="1" tint="0.34998626667073579"/>
      </top>
      <bottom style="dashed">
        <color theme="1" tint="0.34998626667073579"/>
      </bottom>
      <diagonal/>
    </border>
    <border>
      <left style="thin">
        <color indexed="64"/>
      </left>
      <right style="thin">
        <color indexed="64"/>
      </right>
      <top style="dashed">
        <color theme="1" tint="0.34998626667073579"/>
      </top>
      <bottom style="dashed">
        <color theme="1" tint="0.34998626667073579"/>
      </bottom>
      <diagonal/>
    </border>
    <border>
      <left style="thin">
        <color indexed="64"/>
      </left>
      <right/>
      <top style="dashed">
        <color theme="1" tint="0.34998626667073579"/>
      </top>
      <bottom style="dashed">
        <color theme="1" tint="0.34998626667073579"/>
      </bottom>
      <diagonal/>
    </border>
    <border>
      <left style="thin">
        <color indexed="64"/>
      </left>
      <right style="thin">
        <color indexed="64"/>
      </right>
      <top style="dashed">
        <color theme="1" tint="0.34998626667073579"/>
      </top>
      <bottom style="medium">
        <color indexed="64"/>
      </bottom>
      <diagonal/>
    </border>
    <border>
      <left style="thin">
        <color indexed="64"/>
      </left>
      <right/>
      <top style="dashed">
        <color theme="1" tint="0.34998626667073579"/>
      </top>
      <bottom style="medium">
        <color indexed="64"/>
      </bottom>
      <diagonal/>
    </border>
    <border>
      <left style="thin">
        <color indexed="64"/>
      </left>
      <right/>
      <top/>
      <bottom style="dashed">
        <color theme="1" tint="0.34998626667073579"/>
      </bottom>
      <diagonal/>
    </border>
    <border>
      <left style="thin">
        <color indexed="64"/>
      </left>
      <right style="medium">
        <color indexed="64"/>
      </right>
      <top/>
      <bottom style="dashed">
        <color theme="1" tint="0.34998626667073579"/>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medium">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auto="1"/>
      </right>
      <top style="medium">
        <color indexed="64"/>
      </top>
      <bottom style="thin">
        <color indexed="64"/>
      </bottom>
      <diagonal/>
    </border>
    <border>
      <left style="thin">
        <color indexed="64"/>
      </left>
      <right/>
      <top style="medium">
        <color indexed="64"/>
      </top>
      <bottom style="medium">
        <color indexed="64"/>
      </bottom>
      <diagonal/>
    </border>
    <border>
      <left/>
      <right/>
      <top/>
      <bottom style="medium">
        <color theme="3"/>
      </bottom>
      <diagonal/>
    </border>
    <border>
      <left style="medium">
        <color indexed="64"/>
      </left>
      <right/>
      <top style="medium">
        <color indexed="64"/>
      </top>
      <bottom style="dashed">
        <color theme="1" tint="0.34998626667073579"/>
      </bottom>
      <diagonal/>
    </border>
    <border>
      <left style="thin">
        <color indexed="64"/>
      </left>
      <right style="thin">
        <color indexed="64"/>
      </right>
      <top style="medium">
        <color indexed="64"/>
      </top>
      <bottom style="dashed">
        <color theme="1" tint="0.34998626667073579"/>
      </bottom>
      <diagonal/>
    </border>
    <border>
      <left style="thin">
        <color indexed="64"/>
      </left>
      <right/>
      <top style="medium">
        <color indexed="64"/>
      </top>
      <bottom style="dashed">
        <color theme="1" tint="0.34998626667073579"/>
      </bottom>
      <diagonal/>
    </border>
    <border>
      <left style="thin">
        <color indexed="64"/>
      </left>
      <right style="medium">
        <color indexed="64"/>
      </right>
      <top style="medium">
        <color indexed="64"/>
      </top>
      <bottom style="dashed">
        <color theme="1" tint="0.34998626667073579"/>
      </bottom>
      <diagonal/>
    </border>
    <border>
      <left style="medium">
        <color indexed="64"/>
      </left>
      <right/>
      <top style="dashed">
        <color theme="1" tint="0.34998626667073579"/>
      </top>
      <bottom style="medium">
        <color indexed="64"/>
      </bottom>
      <diagonal/>
    </border>
  </borders>
  <cellStyleXfs count="1">
    <xf numFmtId="0" fontId="0" fillId="0" borderId="0"/>
  </cellStyleXfs>
  <cellXfs count="100">
    <xf numFmtId="0" fontId="0" fillId="0" borderId="0" xfId="0"/>
    <xf numFmtId="0" fontId="1" fillId="2" borderId="0" xfId="0" applyFont="1" applyFill="1" applyAlignment="1">
      <alignment horizontal="right" vertical="center" indent="1"/>
    </xf>
    <xf numFmtId="0" fontId="5" fillId="0" borderId="0" xfId="0" applyFont="1" applyAlignment="1">
      <alignment horizontal="center" vertical="center"/>
    </xf>
    <xf numFmtId="0" fontId="1" fillId="2" borderId="0" xfId="0" applyFont="1" applyFill="1" applyAlignment="1">
      <alignment vertical="center"/>
    </xf>
    <xf numFmtId="0" fontId="6" fillId="0" borderId="2" xfId="0" applyFont="1" applyBorder="1" applyAlignment="1">
      <alignment horizontal="center" vertical="center" wrapText="1"/>
    </xf>
    <xf numFmtId="15" fontId="3" fillId="2" borderId="0" xfId="0" applyNumberFormat="1" applyFont="1" applyFill="1" applyAlignment="1">
      <alignment horizontal="left" vertical="center" inden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0" xfId="0" applyFont="1" applyAlignment="1">
      <alignment horizontal="center" vertical="center"/>
    </xf>
    <xf numFmtId="0" fontId="8" fillId="4" borderId="19" xfId="0" applyFont="1" applyFill="1" applyBorder="1" applyAlignment="1">
      <alignment horizontal="center" vertical="center"/>
    </xf>
    <xf numFmtId="0" fontId="8" fillId="7" borderId="19" xfId="0" applyFont="1" applyFill="1" applyBorder="1" applyAlignment="1">
      <alignment horizontal="center" vertical="center"/>
    </xf>
    <xf numFmtId="0" fontId="8" fillId="7" borderId="15" xfId="0" applyFont="1" applyFill="1" applyBorder="1" applyAlignment="1">
      <alignment horizontal="center" vertical="center"/>
    </xf>
    <xf numFmtId="0" fontId="8" fillId="6" borderId="20" xfId="0" applyFont="1" applyFill="1" applyBorder="1" applyAlignment="1">
      <alignment horizontal="center" vertical="center"/>
    </xf>
    <xf numFmtId="0" fontId="8" fillId="5" borderId="21" xfId="0" applyFont="1" applyFill="1" applyBorder="1" applyAlignment="1">
      <alignment horizontal="center" vertical="center"/>
    </xf>
    <xf numFmtId="0" fontId="8" fillId="4" borderId="21" xfId="0" applyFont="1" applyFill="1" applyBorder="1" applyAlignment="1">
      <alignment horizontal="center" vertical="center"/>
    </xf>
    <xf numFmtId="0" fontId="8" fillId="7" borderId="21" xfId="0" applyFont="1" applyFill="1" applyBorder="1" applyAlignment="1">
      <alignment horizontal="center" vertical="center"/>
    </xf>
    <xf numFmtId="0" fontId="8" fillId="7" borderId="16" xfId="0" applyFont="1" applyFill="1" applyBorder="1" applyAlignment="1">
      <alignment horizontal="center" vertical="center"/>
    </xf>
    <xf numFmtId="0" fontId="8" fillId="6" borderId="21" xfId="0" applyFont="1" applyFill="1" applyBorder="1" applyAlignment="1">
      <alignment horizontal="center" vertical="center"/>
    </xf>
    <xf numFmtId="0" fontId="8" fillId="6" borderId="22" xfId="0" applyFont="1" applyFill="1" applyBorder="1" applyAlignment="1">
      <alignment horizontal="center" vertical="center"/>
    </xf>
    <xf numFmtId="0" fontId="8" fillId="6" borderId="23" xfId="0" applyFont="1" applyFill="1" applyBorder="1" applyAlignment="1">
      <alignment horizontal="center" vertical="center"/>
    </xf>
    <xf numFmtId="0" fontId="8" fillId="5" borderId="23" xfId="0" applyFont="1" applyFill="1" applyBorder="1" applyAlignment="1">
      <alignment horizontal="center" vertical="center"/>
    </xf>
    <xf numFmtId="0" fontId="8" fillId="4" borderId="17" xfId="0" applyFont="1" applyFill="1" applyBorder="1" applyAlignment="1">
      <alignment horizontal="center" vertical="center"/>
    </xf>
    <xf numFmtId="0" fontId="9" fillId="0" borderId="10" xfId="0" applyFont="1" applyBorder="1" applyAlignment="1">
      <alignment vertical="center"/>
    </xf>
    <xf numFmtId="0" fontId="9" fillId="0" borderId="11" xfId="0" applyFont="1" applyBorder="1" applyAlignment="1">
      <alignment vertical="center"/>
    </xf>
    <xf numFmtId="0" fontId="6" fillId="0" borderId="7" xfId="0" applyFont="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11" fillId="0" borderId="0" xfId="0" applyFont="1"/>
    <xf numFmtId="0" fontId="9" fillId="0" borderId="0" xfId="0" applyFont="1"/>
    <xf numFmtId="0" fontId="1" fillId="0" borderId="0" xfId="0" applyFont="1" applyAlignment="1">
      <alignment horizontal="center" vertical="center"/>
    </xf>
    <xf numFmtId="0" fontId="0" fillId="0" borderId="0" xfId="0" applyAlignment="1">
      <alignment horizontal="center" vertical="center"/>
    </xf>
    <xf numFmtId="0" fontId="7" fillId="0" borderId="25" xfId="0" applyFont="1" applyBorder="1" applyAlignment="1">
      <alignment horizontal="center" vertical="center"/>
    </xf>
    <xf numFmtId="0" fontId="7" fillId="0" borderId="11" xfId="0" applyFont="1" applyBorder="1" applyAlignment="1">
      <alignment horizontal="center" vertical="center"/>
    </xf>
    <xf numFmtId="0" fontId="8" fillId="0" borderId="0" xfId="0" applyFont="1" applyAlignment="1">
      <alignment horizontal="center" vertical="center"/>
    </xf>
    <xf numFmtId="0" fontId="9" fillId="0" borderId="0" xfId="0" applyFont="1" applyAlignment="1">
      <alignment vertical="center" textRotation="90"/>
    </xf>
    <xf numFmtId="0" fontId="6" fillId="0" borderId="8" xfId="0" applyFont="1" applyBorder="1" applyAlignment="1">
      <alignment horizontal="center" vertical="center" wrapText="1"/>
    </xf>
    <xf numFmtId="0" fontId="6" fillId="0" borderId="27" xfId="0" applyFont="1" applyBorder="1" applyAlignment="1">
      <alignment horizontal="center" vertical="center" wrapText="1"/>
    </xf>
    <xf numFmtId="0" fontId="1" fillId="2" borderId="29" xfId="0" applyFont="1" applyFill="1" applyBorder="1" applyAlignment="1">
      <alignment horizontal="center" vertical="center"/>
    </xf>
    <xf numFmtId="0" fontId="2" fillId="3" borderId="29" xfId="0" applyFont="1" applyFill="1" applyBorder="1" applyAlignment="1">
      <alignment horizontal="center" vertical="center"/>
    </xf>
    <xf numFmtId="0" fontId="1" fillId="2" borderId="28" xfId="0" applyFont="1" applyFill="1" applyBorder="1" applyAlignment="1">
      <alignment horizontal="center" vertical="center"/>
    </xf>
    <xf numFmtId="0" fontId="2" fillId="3" borderId="28" xfId="0" applyFont="1" applyFill="1" applyBorder="1" applyAlignment="1">
      <alignment horizontal="center" vertical="center"/>
    </xf>
    <xf numFmtId="0" fontId="8" fillId="5" borderId="30" xfId="0" applyFont="1" applyFill="1" applyBorder="1" applyAlignment="1">
      <alignment horizontal="center" vertical="center"/>
    </xf>
    <xf numFmtId="0" fontId="8" fillId="6" borderId="31" xfId="0" applyFont="1" applyFill="1" applyBorder="1" applyAlignment="1">
      <alignment horizontal="center" vertical="center"/>
    </xf>
    <xf numFmtId="0" fontId="8" fillId="6" borderId="32" xfId="0" applyFont="1" applyFill="1" applyBorder="1" applyAlignment="1">
      <alignment horizontal="center" vertical="center"/>
    </xf>
    <xf numFmtId="0" fontId="0" fillId="8" borderId="0" xfId="0" applyFill="1"/>
    <xf numFmtId="0" fontId="9" fillId="8" borderId="0" xfId="0" applyFont="1" applyFill="1" applyAlignment="1">
      <alignment vertical="center"/>
    </xf>
    <xf numFmtId="0" fontId="9" fillId="8" borderId="0" xfId="0" applyFont="1" applyFill="1" applyAlignment="1">
      <alignment vertical="center" textRotation="90"/>
    </xf>
    <xf numFmtId="0" fontId="7" fillId="8" borderId="0" xfId="0" applyFont="1" applyFill="1" applyAlignment="1">
      <alignment horizontal="center" vertical="center"/>
    </xf>
    <xf numFmtId="0" fontId="8" fillId="8" borderId="0" xfId="0" applyFont="1" applyFill="1" applyAlignment="1">
      <alignment horizontal="center" vertical="center"/>
    </xf>
    <xf numFmtId="0" fontId="2" fillId="0" borderId="0" xfId="0" applyFont="1" applyAlignment="1">
      <alignment horizontal="center" vertical="center"/>
    </xf>
    <xf numFmtId="0" fontId="4" fillId="0" borderId="3" xfId="0" applyFont="1" applyBorder="1" applyAlignment="1">
      <alignment horizontal="left" vertical="center" wrapText="1" indent="1"/>
    </xf>
    <xf numFmtId="0" fontId="16" fillId="0" borderId="4" xfId="0" applyFont="1" applyBorder="1" applyAlignment="1">
      <alignment horizontal="left" vertical="top" wrapText="1" indent="1"/>
    </xf>
    <xf numFmtId="0" fontId="4" fillId="0" borderId="4" xfId="0" applyFont="1" applyBorder="1" applyAlignment="1">
      <alignment horizontal="left" vertical="center" wrapText="1" indent="1"/>
    </xf>
    <xf numFmtId="0" fontId="4" fillId="0" borderId="5" xfId="0" applyFont="1" applyBorder="1" applyAlignment="1">
      <alignment horizontal="left" vertical="center" wrapText="1" indent="1"/>
    </xf>
    <xf numFmtId="0" fontId="16" fillId="0" borderId="6" xfId="0" applyFont="1" applyBorder="1" applyAlignment="1">
      <alignment horizontal="left" vertical="top" wrapText="1" indent="1"/>
    </xf>
    <xf numFmtId="0" fontId="4" fillId="0" borderId="6" xfId="0" applyFont="1" applyBorder="1" applyAlignment="1">
      <alignment horizontal="left" vertical="center" wrapText="1" indent="1"/>
    </xf>
    <xf numFmtId="15" fontId="3" fillId="9" borderId="0" xfId="0" applyNumberFormat="1" applyFont="1" applyFill="1" applyAlignment="1">
      <alignment horizontal="center" vertical="center"/>
    </xf>
    <xf numFmtId="0" fontId="3" fillId="9" borderId="33" xfId="0" applyFont="1" applyFill="1" applyBorder="1" applyAlignment="1">
      <alignment horizontal="left" vertical="center" indent="1"/>
    </xf>
    <xf numFmtId="0" fontId="1" fillId="10" borderId="10" xfId="0" applyFont="1" applyFill="1" applyBorder="1" applyAlignment="1">
      <alignment horizontal="center" vertical="top" wrapText="1"/>
    </xf>
    <xf numFmtId="0" fontId="1" fillId="10" borderId="38" xfId="0" applyFont="1" applyFill="1" applyBorder="1" applyAlignment="1">
      <alignment horizontal="center" vertical="top" wrapText="1"/>
    </xf>
    <xf numFmtId="0" fontId="1" fillId="10" borderId="24" xfId="0" applyFont="1" applyFill="1" applyBorder="1" applyAlignment="1">
      <alignment horizontal="center" vertical="top" wrapText="1"/>
    </xf>
    <xf numFmtId="0" fontId="1" fillId="10" borderId="27" xfId="0" applyFont="1" applyFill="1" applyBorder="1" applyAlignment="1">
      <alignment horizontal="center" vertical="top" wrapText="1"/>
    </xf>
    <xf numFmtId="0" fontId="17" fillId="2" borderId="0" xfId="0" applyFont="1" applyFill="1"/>
    <xf numFmtId="0" fontId="18" fillId="2" borderId="0" xfId="0" applyFont="1" applyFill="1" applyAlignment="1">
      <alignment vertical="center"/>
    </xf>
    <xf numFmtId="0" fontId="19" fillId="9" borderId="0" xfId="0" applyFont="1" applyFill="1" applyAlignment="1">
      <alignment vertical="center"/>
    </xf>
    <xf numFmtId="0" fontId="12" fillId="9" borderId="0" xfId="0" applyFont="1" applyFill="1" applyAlignment="1">
      <alignment vertical="center"/>
    </xf>
    <xf numFmtId="0" fontId="19" fillId="9" borderId="0" xfId="0" applyFont="1" applyFill="1" applyAlignment="1">
      <alignment vertical="center" wrapText="1"/>
    </xf>
    <xf numFmtId="0" fontId="21" fillId="9" borderId="39" xfId="0" applyFont="1" applyFill="1" applyBorder="1" applyAlignment="1">
      <alignment vertical="center"/>
    </xf>
    <xf numFmtId="0" fontId="2" fillId="11" borderId="28" xfId="0" applyFont="1" applyFill="1" applyBorder="1" applyAlignment="1">
      <alignment horizontal="center" vertical="center"/>
    </xf>
    <xf numFmtId="0" fontId="0" fillId="12" borderId="0" xfId="0" applyFill="1"/>
    <xf numFmtId="0" fontId="13" fillId="12" borderId="0" xfId="0" applyFont="1" applyFill="1" applyAlignment="1">
      <alignment horizontal="right" vertical="center"/>
    </xf>
    <xf numFmtId="0" fontId="6" fillId="0" borderId="40" xfId="0" applyFont="1" applyBorder="1" applyAlignment="1">
      <alignment horizontal="center" vertical="center" wrapText="1"/>
    </xf>
    <xf numFmtId="0" fontId="4" fillId="0" borderId="41" xfId="0" applyFont="1" applyBorder="1" applyAlignment="1">
      <alignment horizontal="left" vertical="center" wrapText="1" indent="1"/>
    </xf>
    <xf numFmtId="0" fontId="16" fillId="0" borderId="42" xfId="0" applyFont="1" applyBorder="1" applyAlignment="1">
      <alignment horizontal="left" vertical="top" wrapText="1" indent="1"/>
    </xf>
    <xf numFmtId="0" fontId="4" fillId="0" borderId="42" xfId="0" applyFont="1" applyBorder="1" applyAlignment="1">
      <alignment horizontal="left" vertical="center" wrapText="1" inden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24" xfId="0" applyFont="1" applyBorder="1" applyAlignment="1">
      <alignment horizontal="center" vertical="center" wrapText="1"/>
    </xf>
    <xf numFmtId="0" fontId="1" fillId="10" borderId="24" xfId="0" applyFont="1" applyFill="1" applyBorder="1" applyAlignment="1">
      <alignment horizontal="center" vertical="center" wrapText="1"/>
    </xf>
    <xf numFmtId="0" fontId="1" fillId="10" borderId="38" xfId="0" applyFont="1" applyFill="1" applyBorder="1" applyAlignment="1">
      <alignment horizontal="center" vertical="center" wrapText="1"/>
    </xf>
    <xf numFmtId="0" fontId="15" fillId="2" borderId="9" xfId="0" applyFont="1" applyFill="1" applyBorder="1" applyAlignment="1">
      <alignment horizontal="center" vertical="top"/>
    </xf>
    <xf numFmtId="0" fontId="1" fillId="10" borderId="1" xfId="0" applyFont="1" applyFill="1" applyBorder="1" applyAlignment="1">
      <alignment horizontal="center" vertical="center" wrapText="1"/>
    </xf>
    <xf numFmtId="0" fontId="1" fillId="10" borderId="36" xfId="0" applyFont="1" applyFill="1" applyBorder="1" applyAlignment="1">
      <alignment horizontal="center" vertical="center"/>
    </xf>
    <xf numFmtId="0" fontId="1" fillId="10" borderId="37" xfId="0" applyFont="1" applyFill="1" applyBorder="1" applyAlignment="1">
      <alignment horizontal="center" vertical="center"/>
    </xf>
    <xf numFmtId="0" fontId="3" fillId="9" borderId="34" xfId="0" applyFont="1" applyFill="1" applyBorder="1" applyAlignment="1">
      <alignment horizontal="left" vertical="center" indent="1"/>
    </xf>
    <xf numFmtId="0" fontId="3" fillId="9" borderId="35" xfId="0" applyFont="1" applyFill="1" applyBorder="1" applyAlignment="1">
      <alignment horizontal="left" vertical="center" indent="1"/>
    </xf>
    <xf numFmtId="0" fontId="3" fillId="9" borderId="29" xfId="0" applyFont="1" applyFill="1" applyBorder="1" applyAlignment="1">
      <alignment horizontal="left" vertical="center" indent="1"/>
    </xf>
    <xf numFmtId="0" fontId="22" fillId="0" borderId="26" xfId="0" applyFont="1" applyBorder="1" applyAlignment="1">
      <alignment horizontal="left" wrapText="1"/>
    </xf>
    <xf numFmtId="0" fontId="9" fillId="0" borderId="13" xfId="0" applyFont="1" applyBorder="1" applyAlignment="1">
      <alignment horizontal="center" vertical="center" textRotation="90"/>
    </xf>
    <xf numFmtId="0" fontId="9" fillId="0" borderId="14" xfId="0" applyFont="1" applyBorder="1" applyAlignment="1">
      <alignment horizontal="center" vertical="center" textRotation="90"/>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textRotation="90"/>
    </xf>
    <xf numFmtId="0" fontId="24" fillId="3" borderId="0" xfId="0" applyFont="1" applyFill="1" applyAlignment="1">
      <alignment horizontal="center" vertical="center" wrapText="1"/>
    </xf>
    <xf numFmtId="2" fontId="24" fillId="3" borderId="0" xfId="0" applyNumberFormat="1" applyFont="1" applyFill="1" applyAlignment="1">
      <alignment horizontal="center" vertical="center"/>
    </xf>
    <xf numFmtId="0" fontId="25" fillId="0" borderId="34" xfId="0" applyFont="1" applyBorder="1" applyAlignment="1">
      <alignment horizontal="center" vertical="center" wrapText="1"/>
    </xf>
    <xf numFmtId="0" fontId="7" fillId="0" borderId="33" xfId="0" applyFont="1" applyBorder="1" applyAlignment="1">
      <alignment horizontal="center" vertical="center"/>
    </xf>
    <xf numFmtId="0" fontId="6" fillId="0" borderId="33" xfId="0" applyFont="1" applyBorder="1" applyAlignment="1">
      <alignment horizontal="center" vertical="center" wrapText="1"/>
    </xf>
  </cellXfs>
  <cellStyles count="1">
    <cellStyle name="Normal" xfId="0" builtinId="0"/>
  </cellStyles>
  <dxfs count="20">
    <dxf>
      <fill>
        <patternFill>
          <bgColor theme="5" tint="0.59996337778862885"/>
        </patternFill>
      </fill>
    </dxf>
    <dxf>
      <fill>
        <patternFill>
          <bgColor rgb="FFFF9999"/>
        </patternFill>
      </fill>
    </dxf>
    <dxf>
      <fill>
        <patternFill>
          <bgColor theme="7" tint="0.79998168889431442"/>
        </patternFill>
      </fill>
    </dxf>
    <dxf>
      <fill>
        <patternFill>
          <bgColor theme="9" tint="0.79998168889431442"/>
        </patternFill>
      </fill>
    </dxf>
    <dxf>
      <fill>
        <patternFill>
          <bgColor theme="5" tint="0.59996337778862885"/>
        </patternFill>
      </fill>
    </dxf>
    <dxf>
      <fill>
        <patternFill>
          <bgColor rgb="FFFF9999"/>
        </patternFill>
      </fill>
    </dxf>
    <dxf>
      <fill>
        <patternFill>
          <bgColor theme="7" tint="0.79998168889431442"/>
        </patternFill>
      </fill>
    </dxf>
    <dxf>
      <fill>
        <patternFill>
          <bgColor theme="9" tint="0.79998168889431442"/>
        </patternFill>
      </fill>
    </dxf>
    <dxf>
      <fill>
        <patternFill>
          <bgColor theme="5" tint="0.59996337778862885"/>
        </patternFill>
      </fill>
    </dxf>
    <dxf>
      <fill>
        <patternFill>
          <bgColor rgb="FFFF9999"/>
        </patternFill>
      </fill>
    </dxf>
    <dxf>
      <fill>
        <patternFill>
          <bgColor theme="7" tint="0.79998168889431442"/>
        </patternFill>
      </fill>
    </dxf>
    <dxf>
      <fill>
        <patternFill>
          <bgColor theme="9" tint="0.79998168889431442"/>
        </patternFill>
      </fill>
    </dxf>
    <dxf>
      <fill>
        <patternFill>
          <bgColor theme="5" tint="0.59996337778862885"/>
        </patternFill>
      </fill>
    </dxf>
    <dxf>
      <fill>
        <patternFill>
          <bgColor rgb="FFFF9999"/>
        </patternFill>
      </fill>
    </dxf>
    <dxf>
      <fill>
        <patternFill>
          <bgColor theme="7" tint="0.79998168889431442"/>
        </patternFill>
      </fill>
    </dxf>
    <dxf>
      <fill>
        <patternFill>
          <bgColor theme="9" tint="0.79998168889431442"/>
        </patternFill>
      </fill>
    </dxf>
    <dxf>
      <fill>
        <patternFill>
          <bgColor theme="5" tint="0.59996337778862885"/>
        </patternFill>
      </fill>
    </dxf>
    <dxf>
      <fill>
        <patternFill>
          <bgColor rgb="FFFF9999"/>
        </patternFill>
      </fill>
    </dxf>
    <dxf>
      <fill>
        <patternFill>
          <bgColor theme="7" tint="0.79998168889431442"/>
        </patternFill>
      </fill>
    </dxf>
    <dxf>
      <fill>
        <patternFill>
          <bgColor theme="9" tint="0.79998168889431442"/>
        </patternFill>
      </fill>
    </dxf>
  </dxfs>
  <tableStyles count="1" defaultTableStyle="TableStyleMedium2" defaultPivotStyle="PivotStyleLight16">
    <tableStyle name="Table Style 1" pivot="0" count="0" xr9:uid="{00000000-0011-0000-FFFF-FFFF00000000}"/>
  </tableStyles>
  <colors>
    <mruColors>
      <color rgb="FFFDDBB1"/>
      <color rgb="FF8497B0"/>
      <color rgb="FF8FB9AB"/>
      <color rgb="FFFF99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13</xdr:col>
      <xdr:colOff>152401</xdr:colOff>
      <xdr:row>25</xdr:row>
      <xdr:rowOff>170329</xdr:rowOff>
    </xdr:from>
    <xdr:to>
      <xdr:col>19</xdr:col>
      <xdr:colOff>973119</xdr:colOff>
      <xdr:row>25</xdr:row>
      <xdr:rowOff>457200</xdr:rowOff>
    </xdr:to>
    <xdr:sp macro="" textlink="">
      <xdr:nvSpPr>
        <xdr:cNvPr id="2" name="TextBox 1">
          <a:extLst>
            <a:ext uri="{FF2B5EF4-FFF2-40B4-BE49-F238E27FC236}">
              <a16:creationId xmlns:a16="http://schemas.microsoft.com/office/drawing/2014/main" id="{BC14D5E3-73A7-4DB4-A98A-D37D15ED9261}"/>
            </a:ext>
          </a:extLst>
        </xdr:cNvPr>
        <xdr:cNvSpPr txBox="1"/>
      </xdr:nvSpPr>
      <xdr:spPr>
        <a:xfrm>
          <a:off x="14352495" y="14218023"/>
          <a:ext cx="6011283"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18000" rIns="18000" bIns="18000" rtlCol="0" anchor="ctr"/>
        <a:lstStyle/>
        <a:p>
          <a:pPr algn="l"/>
          <a:r>
            <a:rPr lang="en-AU" sz="1000">
              <a:latin typeface="Segoe UI Symbol" panose="020B0502040204020203" pitchFamily="34" charset="0"/>
              <a:ea typeface="Segoe UI Symbol" panose="020B0502040204020203" pitchFamily="34" charset="0"/>
              <a:cs typeface="Arial" panose="020B0604020202020204" pitchFamily="34" charset="0"/>
            </a:rPr>
            <a:t>◀ Insert rows</a:t>
          </a:r>
          <a:r>
            <a:rPr lang="en-AU" sz="1000" baseline="0">
              <a:latin typeface="Segoe UI Symbol" panose="020B0502040204020203" pitchFamily="34" charset="0"/>
              <a:ea typeface="Segoe UI Symbol" panose="020B0502040204020203" pitchFamily="34" charset="0"/>
              <a:cs typeface="Arial" panose="020B0604020202020204" pitchFamily="34" charset="0"/>
            </a:rPr>
            <a:t> to add more risks. Drag and copy an existing row down to keep formulas the same.</a:t>
          </a:r>
          <a:endParaRPr lang="en-AU" sz="10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Z71"/>
  <sheetViews>
    <sheetView showGridLines="0" tabSelected="1" zoomScale="85" zoomScaleNormal="85" workbookViewId="0"/>
  </sheetViews>
  <sheetFormatPr defaultRowHeight="14.4" x14ac:dyDescent="0.3"/>
  <cols>
    <col min="1" max="1" width="1.5546875" customWidth="1"/>
    <col min="2" max="2" width="7.6640625" customWidth="1"/>
    <col min="3" max="3" width="29.109375" customWidth="1"/>
    <col min="4" max="4" width="31.33203125" customWidth="1"/>
    <col min="5" max="5" width="20.109375" customWidth="1"/>
    <col min="6" max="6" width="11.44140625" customWidth="1"/>
    <col min="7" max="7" width="12.33203125" customWidth="1"/>
    <col min="8" max="8" width="11.77734375" customWidth="1"/>
    <col min="9" max="9" width="26.21875" customWidth="1"/>
    <col min="10" max="10" width="19.6640625" customWidth="1"/>
    <col min="11" max="11" width="12.109375" customWidth="1"/>
    <col min="12" max="12" width="11.33203125" customWidth="1"/>
    <col min="13" max="13" width="12.109375" customWidth="1"/>
    <col min="14" max="14" width="8.21875" customWidth="1"/>
    <col min="15" max="15" width="7.77734375" customWidth="1"/>
    <col min="16" max="21" width="14.88671875" customWidth="1"/>
    <col min="22" max="22" width="3.109375" customWidth="1"/>
    <col min="23" max="23" width="4.21875" customWidth="1"/>
    <col min="24" max="24" width="12.109375" customWidth="1"/>
    <col min="25" max="25" width="12.44140625" customWidth="1"/>
    <col min="26" max="26" width="5.109375" customWidth="1"/>
  </cols>
  <sheetData>
    <row r="1" spans="2:26" ht="35.4" customHeight="1" x14ac:dyDescent="0.3">
      <c r="B1" s="82" t="s">
        <v>1</v>
      </c>
      <c r="C1" s="82"/>
      <c r="D1" s="82"/>
      <c r="E1" s="82"/>
      <c r="F1" s="82"/>
      <c r="G1" s="82"/>
      <c r="H1" s="82"/>
      <c r="I1" s="82"/>
      <c r="J1" s="82"/>
      <c r="K1" s="82"/>
      <c r="L1" s="82"/>
      <c r="M1" s="82"/>
      <c r="N1" s="30"/>
      <c r="W1" s="45"/>
      <c r="X1" s="45"/>
      <c r="Y1" s="45"/>
      <c r="Z1" s="45"/>
    </row>
    <row r="2" spans="2:26" ht="23.4" customHeight="1" x14ac:dyDescent="0.5">
      <c r="B2" s="3"/>
      <c r="C2" s="1" t="s">
        <v>35</v>
      </c>
      <c r="D2" s="58" t="s">
        <v>33</v>
      </c>
      <c r="E2" s="1" t="s">
        <v>34</v>
      </c>
      <c r="F2" s="86"/>
      <c r="G2" s="87"/>
      <c r="H2" s="88"/>
      <c r="I2" s="1" t="s">
        <v>31</v>
      </c>
      <c r="J2" s="57">
        <v>45726</v>
      </c>
      <c r="K2" s="1"/>
      <c r="L2" s="5"/>
      <c r="M2" s="3"/>
      <c r="N2" s="50"/>
      <c r="O2" s="29" t="s">
        <v>25</v>
      </c>
      <c r="P2" s="29"/>
      <c r="R2" s="70"/>
      <c r="S2" s="70"/>
      <c r="T2" s="70"/>
      <c r="U2" s="70"/>
      <c r="V2" s="70"/>
      <c r="W2" s="71" t="s">
        <v>28</v>
      </c>
      <c r="X2" s="40" t="s">
        <v>3</v>
      </c>
      <c r="Y2" s="38" t="s">
        <v>2</v>
      </c>
      <c r="Z2" s="45"/>
    </row>
    <row r="3" spans="2:26" ht="26.4" thickBot="1" x14ac:dyDescent="0.55000000000000004">
      <c r="B3" s="3"/>
      <c r="C3" s="1"/>
      <c r="D3" s="1"/>
      <c r="E3" s="1"/>
      <c r="F3" s="3"/>
      <c r="G3" s="3"/>
      <c r="H3" s="3"/>
      <c r="I3" s="3"/>
      <c r="J3" s="3"/>
      <c r="K3" s="3"/>
      <c r="L3" s="3"/>
      <c r="M3" s="3"/>
      <c r="N3" s="50"/>
      <c r="O3" s="28" t="s">
        <v>26</v>
      </c>
      <c r="P3" s="29"/>
      <c r="W3" s="45"/>
      <c r="X3" s="41" t="s">
        <v>22</v>
      </c>
      <c r="Y3" s="39" t="s">
        <v>22</v>
      </c>
      <c r="Z3" s="45"/>
    </row>
    <row r="4" spans="2:26" ht="29.4" customHeight="1" thickBot="1" x14ac:dyDescent="0.35">
      <c r="B4" s="3"/>
      <c r="C4" s="1"/>
      <c r="D4" s="1"/>
      <c r="E4" s="1"/>
      <c r="F4" s="83" t="s">
        <v>9</v>
      </c>
      <c r="G4" s="84"/>
      <c r="H4" s="85"/>
      <c r="I4" s="3"/>
      <c r="J4" s="3"/>
      <c r="K4" s="83" t="s">
        <v>10</v>
      </c>
      <c r="L4" s="84"/>
      <c r="M4" s="85"/>
      <c r="O4" s="89" t="s">
        <v>45</v>
      </c>
      <c r="P4" s="89"/>
      <c r="Q4" s="89"/>
      <c r="R4" s="89"/>
      <c r="S4" s="89"/>
      <c r="T4" s="89"/>
      <c r="U4" s="89"/>
      <c r="W4" s="45"/>
      <c r="X4" s="41" t="s">
        <v>15</v>
      </c>
      <c r="Y4" s="39" t="s">
        <v>15</v>
      </c>
      <c r="Z4" s="45"/>
    </row>
    <row r="5" spans="2:26" ht="32.4" customHeight="1" thickBot="1" x14ac:dyDescent="0.35">
      <c r="B5" s="59" t="s">
        <v>0</v>
      </c>
      <c r="C5" s="81" t="s">
        <v>11</v>
      </c>
      <c r="D5" s="60" t="s">
        <v>12</v>
      </c>
      <c r="E5" s="60" t="s">
        <v>23</v>
      </c>
      <c r="F5" s="80" t="s">
        <v>3</v>
      </c>
      <c r="G5" s="80" t="s">
        <v>2</v>
      </c>
      <c r="H5" s="80" t="s">
        <v>4</v>
      </c>
      <c r="I5" s="81" t="s">
        <v>5</v>
      </c>
      <c r="J5" s="60" t="s">
        <v>24</v>
      </c>
      <c r="K5" s="61" t="s">
        <v>6</v>
      </c>
      <c r="L5" s="61" t="s">
        <v>7</v>
      </c>
      <c r="M5" s="62" t="s">
        <v>8</v>
      </c>
      <c r="O5" s="23"/>
      <c r="P5" s="24" t="s">
        <v>20</v>
      </c>
      <c r="Q5" s="32" t="str">
        <f>Y$7</f>
        <v>Very Low</v>
      </c>
      <c r="R5" s="8" t="str">
        <f>Y$6</f>
        <v>Low</v>
      </c>
      <c r="S5" s="8" t="str">
        <f>Y$5</f>
        <v>Medium</v>
      </c>
      <c r="T5" s="8" t="str">
        <f>Y$4</f>
        <v>High</v>
      </c>
      <c r="U5" s="33" t="str">
        <f>Y$3</f>
        <v>Very High</v>
      </c>
      <c r="W5" s="46"/>
      <c r="X5" s="69" t="s">
        <v>14</v>
      </c>
      <c r="Y5" s="39" t="s">
        <v>14</v>
      </c>
      <c r="Z5" s="48"/>
    </row>
    <row r="6" spans="2:26" ht="48" customHeight="1" x14ac:dyDescent="0.3">
      <c r="B6" s="72">
        <f>IF(ISBLANK(C6),"",1)</f>
        <v>1</v>
      </c>
      <c r="C6" s="73" t="s">
        <v>36</v>
      </c>
      <c r="D6" s="74" t="s">
        <v>30</v>
      </c>
      <c r="E6" s="75" t="s">
        <v>32</v>
      </c>
      <c r="F6" s="76" t="s">
        <v>14</v>
      </c>
      <c r="G6" s="76" t="s">
        <v>21</v>
      </c>
      <c r="H6" s="76" t="str">
        <f>IFERROR(INDEX(Q$6:U$10,MATCH(F6,P$6:P$10,0),MATCH(G6,Q$5:U$5,0)),"")</f>
        <v>Sustainable</v>
      </c>
      <c r="I6" s="75"/>
      <c r="J6" s="75"/>
      <c r="K6" s="76" t="s">
        <v>13</v>
      </c>
      <c r="L6" s="76" t="s">
        <v>21</v>
      </c>
      <c r="M6" s="77" t="str">
        <f>IFERROR(INDEX(Q$6:U$10,MATCH(K6,P$6:P$10,0),MATCH(L6,Q$5:U$5,0)),"")</f>
        <v>Sustainable</v>
      </c>
      <c r="O6" s="90" t="s">
        <v>3</v>
      </c>
      <c r="P6" s="6" t="str">
        <f>X$3</f>
        <v>Very High</v>
      </c>
      <c r="Q6" s="42" t="s">
        <v>17</v>
      </c>
      <c r="R6" s="10" t="s">
        <v>18</v>
      </c>
      <c r="S6" s="10" t="s">
        <v>18</v>
      </c>
      <c r="T6" s="11" t="s">
        <v>19</v>
      </c>
      <c r="U6" s="12" t="s">
        <v>19</v>
      </c>
      <c r="W6" s="47"/>
      <c r="X6" s="41" t="s">
        <v>13</v>
      </c>
      <c r="Y6" s="39" t="s">
        <v>13</v>
      </c>
      <c r="Z6" s="49"/>
    </row>
    <row r="7" spans="2:26" ht="48" x14ac:dyDescent="0.3">
      <c r="B7" s="4">
        <f>IF(C7="","",MAX(B$6:B6)+1)</f>
        <v>2</v>
      </c>
      <c r="C7" s="51" t="s">
        <v>43</v>
      </c>
      <c r="D7" s="52" t="s">
        <v>30</v>
      </c>
      <c r="E7" s="53"/>
      <c r="F7" s="26" t="s">
        <v>13</v>
      </c>
      <c r="G7" s="26" t="s">
        <v>15</v>
      </c>
      <c r="H7" s="25" t="str">
        <f t="shared" ref="H7:H24" si="0">IFERROR(INDEX(Q$6:U$10,MATCH(F7,P$6:P$10,0),MATCH(G7,Q$5:U$5,0)),"")</f>
        <v>Severe</v>
      </c>
      <c r="I7" s="53"/>
      <c r="J7" s="53"/>
      <c r="K7" s="26" t="s">
        <v>13</v>
      </c>
      <c r="L7" s="26" t="s">
        <v>15</v>
      </c>
      <c r="M7" s="36" t="str">
        <f t="shared" ref="M7:M24" si="1">IFERROR(INDEX(Q$6:U$10,MATCH(K7,P$6:P$10,0),MATCH(L7,Q$5:U$5,0)),"")</f>
        <v>Severe</v>
      </c>
      <c r="O7" s="90"/>
      <c r="P7" s="6" t="str">
        <f>X$4</f>
        <v>High</v>
      </c>
      <c r="Q7" s="43" t="s">
        <v>16</v>
      </c>
      <c r="R7" s="14" t="s">
        <v>17</v>
      </c>
      <c r="S7" s="15" t="s">
        <v>18</v>
      </c>
      <c r="T7" s="16" t="s">
        <v>19</v>
      </c>
      <c r="U7" s="17" t="s">
        <v>19</v>
      </c>
      <c r="W7" s="47"/>
      <c r="X7" s="41" t="s">
        <v>21</v>
      </c>
      <c r="Y7" s="39" t="s">
        <v>21</v>
      </c>
      <c r="Z7" s="49"/>
    </row>
    <row r="8" spans="2:26" ht="45" customHeight="1" x14ac:dyDescent="0.3">
      <c r="B8" s="4" t="str">
        <f>IF(C8="","",MAX(B$6:B7)+1)</f>
        <v/>
      </c>
      <c r="C8" s="51"/>
      <c r="D8" s="52" t="s">
        <v>30</v>
      </c>
      <c r="E8" s="53"/>
      <c r="F8" s="26" t="s">
        <v>14</v>
      </c>
      <c r="G8" s="26" t="s">
        <v>14</v>
      </c>
      <c r="H8" s="25" t="str">
        <f t="shared" si="0"/>
        <v>Moderate</v>
      </c>
      <c r="I8" s="53"/>
      <c r="J8" s="53"/>
      <c r="K8" s="26" t="s">
        <v>14</v>
      </c>
      <c r="L8" s="26" t="s">
        <v>14</v>
      </c>
      <c r="M8" s="36" t="str">
        <f t="shared" si="1"/>
        <v>Moderate</v>
      </c>
      <c r="O8" s="90"/>
      <c r="P8" s="6" t="str">
        <f>X$5</f>
        <v>Medium</v>
      </c>
      <c r="Q8" s="43" t="s">
        <v>16</v>
      </c>
      <c r="R8" s="14" t="s">
        <v>17</v>
      </c>
      <c r="S8" s="14" t="s">
        <v>17</v>
      </c>
      <c r="T8" s="15" t="s">
        <v>18</v>
      </c>
      <c r="U8" s="17" t="s">
        <v>19</v>
      </c>
      <c r="W8" s="47"/>
      <c r="X8" s="48"/>
      <c r="Y8" s="49"/>
      <c r="Z8" s="49"/>
    </row>
    <row r="9" spans="2:26" ht="48" x14ac:dyDescent="0.3">
      <c r="B9" s="4" t="str">
        <f>IF(C9="","",MAX(B$6:B8)+1)</f>
        <v/>
      </c>
      <c r="C9" s="51"/>
      <c r="D9" s="52" t="s">
        <v>30</v>
      </c>
      <c r="E9" s="53"/>
      <c r="F9" s="26" t="s">
        <v>13</v>
      </c>
      <c r="G9" s="26" t="s">
        <v>14</v>
      </c>
      <c r="H9" s="25" t="str">
        <f t="shared" si="0"/>
        <v>Moderate</v>
      </c>
      <c r="I9" s="53"/>
      <c r="J9" s="53"/>
      <c r="K9" s="26" t="s">
        <v>13</v>
      </c>
      <c r="L9" s="26" t="s">
        <v>13</v>
      </c>
      <c r="M9" s="36" t="str">
        <f t="shared" si="1"/>
        <v>Sustainable</v>
      </c>
      <c r="O9" s="90"/>
      <c r="P9" s="6" t="str">
        <f>X$6</f>
        <v>Low</v>
      </c>
      <c r="Q9" s="43" t="s">
        <v>16</v>
      </c>
      <c r="R9" s="18" t="s">
        <v>16</v>
      </c>
      <c r="S9" s="14" t="s">
        <v>17</v>
      </c>
      <c r="T9" s="15" t="s">
        <v>18</v>
      </c>
      <c r="U9" s="17" t="s">
        <v>19</v>
      </c>
      <c r="W9" s="35"/>
      <c r="X9" s="9"/>
      <c r="Y9" s="34"/>
      <c r="Z9" s="34"/>
    </row>
    <row r="10" spans="2:26" ht="48.6" thickBot="1" x14ac:dyDescent="0.35">
      <c r="B10" s="4" t="str">
        <f>IF(C10="","",MAX(B$6:B9)+1)</f>
        <v/>
      </c>
      <c r="C10" s="51"/>
      <c r="D10" s="52" t="s">
        <v>30</v>
      </c>
      <c r="E10" s="53"/>
      <c r="F10" s="26" t="s">
        <v>15</v>
      </c>
      <c r="G10" s="26" t="s">
        <v>15</v>
      </c>
      <c r="H10" s="25" t="str">
        <f t="shared" si="0"/>
        <v>Critical</v>
      </c>
      <c r="I10" s="53"/>
      <c r="J10" s="53"/>
      <c r="K10" s="26" t="s">
        <v>14</v>
      </c>
      <c r="L10" s="26" t="s">
        <v>14</v>
      </c>
      <c r="M10" s="36" t="str">
        <f t="shared" si="1"/>
        <v>Moderate</v>
      </c>
      <c r="O10" s="91"/>
      <c r="P10" s="7" t="str">
        <f>X$7</f>
        <v>Very Low</v>
      </c>
      <c r="Q10" s="44" t="s">
        <v>16</v>
      </c>
      <c r="R10" s="20" t="s">
        <v>16</v>
      </c>
      <c r="S10" s="20" t="s">
        <v>16</v>
      </c>
      <c r="T10" s="21" t="s">
        <v>17</v>
      </c>
      <c r="U10" s="22" t="s">
        <v>18</v>
      </c>
      <c r="W10" s="35"/>
      <c r="X10" s="9"/>
      <c r="Y10" s="34"/>
      <c r="Z10" s="34"/>
    </row>
    <row r="11" spans="2:26" ht="48.6" thickBot="1" x14ac:dyDescent="0.45">
      <c r="B11" s="4" t="str">
        <f>IF(C11="","",MAX(B$6:B10)+1)</f>
        <v/>
      </c>
      <c r="C11" s="51"/>
      <c r="D11" s="52" t="s">
        <v>30</v>
      </c>
      <c r="E11" s="53"/>
      <c r="F11" s="26" t="s">
        <v>15</v>
      </c>
      <c r="G11" s="26" t="s">
        <v>21</v>
      </c>
      <c r="H11" s="25" t="str">
        <f t="shared" si="0"/>
        <v>Sustainable</v>
      </c>
      <c r="I11" s="53"/>
      <c r="J11" s="53"/>
      <c r="K11" s="26" t="s">
        <v>14</v>
      </c>
      <c r="L11" s="26" t="s">
        <v>21</v>
      </c>
      <c r="M11" s="36" t="str">
        <f t="shared" si="1"/>
        <v>Sustainable</v>
      </c>
      <c r="O11" s="28" t="s">
        <v>27</v>
      </c>
      <c r="P11" s="9"/>
      <c r="Q11" s="9"/>
    </row>
    <row r="12" spans="2:26" ht="48.6" thickBot="1" x14ac:dyDescent="0.35">
      <c r="B12" s="4" t="str">
        <f>IF(C12="","",MAX(B$6:B11)+1)</f>
        <v/>
      </c>
      <c r="C12" s="51"/>
      <c r="D12" s="52" t="s">
        <v>30</v>
      </c>
      <c r="E12" s="53"/>
      <c r="F12" s="26" t="s">
        <v>14</v>
      </c>
      <c r="G12" s="26" t="s">
        <v>13</v>
      </c>
      <c r="H12" s="25" t="str">
        <f t="shared" si="0"/>
        <v>Moderate</v>
      </c>
      <c r="I12" s="53"/>
      <c r="J12" s="53"/>
      <c r="K12" s="26" t="s">
        <v>13</v>
      </c>
      <c r="L12" s="26" t="s">
        <v>13</v>
      </c>
      <c r="M12" s="36" t="str">
        <f t="shared" si="1"/>
        <v>Sustainable</v>
      </c>
      <c r="O12" s="92" t="s">
        <v>2</v>
      </c>
      <c r="P12" s="93"/>
      <c r="Q12" s="32" t="str">
        <f>Y$7</f>
        <v>Very Low</v>
      </c>
      <c r="R12" s="8" t="str">
        <f>Y$6</f>
        <v>Low</v>
      </c>
      <c r="S12" s="8" t="str">
        <f>Y$5</f>
        <v>Medium</v>
      </c>
      <c r="T12" s="8" t="str">
        <f>Y$4</f>
        <v>High</v>
      </c>
      <c r="U12" s="33" t="str">
        <f>Y$3</f>
        <v>Very High</v>
      </c>
    </row>
    <row r="13" spans="2:26" ht="48" x14ac:dyDescent="0.3">
      <c r="B13" s="4" t="str">
        <f>IF(C13="","",MAX(B$6:B12)+1)</f>
        <v/>
      </c>
      <c r="C13" s="51"/>
      <c r="D13" s="52" t="s">
        <v>30</v>
      </c>
      <c r="E13" s="53"/>
      <c r="F13" s="26"/>
      <c r="G13" s="26"/>
      <c r="H13" s="25" t="str">
        <f t="shared" si="0"/>
        <v/>
      </c>
      <c r="I13" s="53"/>
      <c r="J13" s="53"/>
      <c r="K13" s="26"/>
      <c r="L13" s="26"/>
      <c r="M13" s="36" t="str">
        <f t="shared" si="1"/>
        <v/>
      </c>
      <c r="O13" s="94" t="s">
        <v>3</v>
      </c>
      <c r="P13" s="6" t="str">
        <f>X$3</f>
        <v>Very High</v>
      </c>
      <c r="Q13" s="42" t="str">
        <f>IF(COUNTIFS(InherentProbability,$X3,InherentImpact,$Y$7)=0,"",COUNTIFS(InherentProbability,$X3,InherentImpact,$Y$7))</f>
        <v/>
      </c>
      <c r="R13" s="10" t="str">
        <f>IF(COUNTIFS(InherentProbability,$X3,InherentImpact,$Y$6)=0,"",COUNTIFS(InherentProbability,$X3,InherentImpact,$Y$6))</f>
        <v/>
      </c>
      <c r="S13" s="10" t="str">
        <f>IF(COUNTIFS(InherentProbability,$X3,InherentImpact,$Y$5)=0,"",COUNTIFS(InherentProbability,$X3,InherentImpact,$Y$5))</f>
        <v/>
      </c>
      <c r="T13" s="11" t="str">
        <f>IF(COUNTIFS(InherentProbability,$X3,InherentImpact,$Y$4)=0,"",COUNTIFS(InherentProbability,$X3,InherentImpact,$Y$4))</f>
        <v/>
      </c>
      <c r="U13" s="12" t="str">
        <f>IF(COUNTIFS(InherentProbability,$X3,InherentImpact,$Y$3)=0,"",COUNTIFS(InherentProbability,$X3,InherentImpact,$Y$3))</f>
        <v/>
      </c>
    </row>
    <row r="14" spans="2:26" ht="48" x14ac:dyDescent="0.3">
      <c r="B14" s="4" t="str">
        <f>IF(C14="","",MAX(B$6:B13)+1)</f>
        <v/>
      </c>
      <c r="C14" s="51"/>
      <c r="D14" s="52" t="s">
        <v>30</v>
      </c>
      <c r="E14" s="53"/>
      <c r="F14" s="26"/>
      <c r="G14" s="26"/>
      <c r="H14" s="25" t="str">
        <f t="shared" ref="H14:H19" si="2">IFERROR(INDEX(Q$6:U$10,MATCH(F14,P$6:P$10,0),MATCH(G14,Q$5:U$5,0)),"")</f>
        <v/>
      </c>
      <c r="I14" s="53"/>
      <c r="J14" s="53"/>
      <c r="K14" s="26"/>
      <c r="L14" s="26"/>
      <c r="M14" s="36" t="str">
        <f t="shared" si="1"/>
        <v/>
      </c>
      <c r="O14" s="90"/>
      <c r="P14" s="6" t="str">
        <f>X$4</f>
        <v>High</v>
      </c>
      <c r="Q14" s="43">
        <f>IF(COUNTIFS(InherentProbability,$X4,InherentImpact,$Y$7)=0,"",COUNTIFS(InherentProbability,$X4,InherentImpact,$Y$7))</f>
        <v>1</v>
      </c>
      <c r="R14" s="14" t="str">
        <f>IF(COUNTIFS(InherentProbability,$X4,InherentImpact,$Y$6)=0,"",COUNTIFS(InherentProbability,$X4,InherentImpact,$Y$6))</f>
        <v/>
      </c>
      <c r="S14" s="15" t="str">
        <f>IF(COUNTIFS(InherentProbability,$X4,InherentImpact,$Y$5)=0,"",COUNTIFS(InherentProbability,$X4,InherentImpact,$Y$5))</f>
        <v/>
      </c>
      <c r="T14" s="16">
        <f>IF(COUNTIFS(InherentProbability,$X4,InherentImpact,$Y$4)=0,"",COUNTIFS(InherentProbability,$X4,InherentImpact,$Y$4))</f>
        <v>1</v>
      </c>
      <c r="U14" s="17" t="str">
        <f>IF(COUNTIFS(InherentProbability,$X4,InherentImpact,$Y$3)=0,"",COUNTIFS(InherentProbability,$X4,InherentImpact,$Y$3))</f>
        <v/>
      </c>
    </row>
    <row r="15" spans="2:26" ht="48" customHeight="1" x14ac:dyDescent="0.3">
      <c r="B15" s="4" t="str">
        <f>IF(C15="","",MAX(B$6:B14)+1)</f>
        <v/>
      </c>
      <c r="C15" s="51"/>
      <c r="D15" s="52" t="s">
        <v>30</v>
      </c>
      <c r="E15" s="53"/>
      <c r="F15" s="26"/>
      <c r="G15" s="26"/>
      <c r="H15" s="25" t="str">
        <f t="shared" si="2"/>
        <v/>
      </c>
      <c r="I15" s="53"/>
      <c r="J15" s="53"/>
      <c r="K15" s="26"/>
      <c r="L15" s="26"/>
      <c r="M15" s="36" t="str">
        <f t="shared" si="1"/>
        <v/>
      </c>
      <c r="O15" s="90"/>
      <c r="P15" s="6" t="str">
        <f>X$5</f>
        <v>Medium</v>
      </c>
      <c r="Q15" s="43">
        <f>IF(COUNTIFS(InherentProbability,$X5,InherentImpact,$Y$7)=0,"",COUNTIFS(InherentProbability,$X5,InherentImpact,$Y$7))</f>
        <v>1</v>
      </c>
      <c r="R15" s="14">
        <f>IF(COUNTIFS(InherentProbability,$X5,InherentImpact,$Y$6)=0,"",COUNTIFS(InherentProbability,$X5,InherentImpact,$Y$6))</f>
        <v>1</v>
      </c>
      <c r="S15" s="14">
        <f>IF(COUNTIFS(InherentProbability,$X5,InherentImpact,$Y$5)=0,"",COUNTIFS(InherentProbability,$X5,InherentImpact,$Y$5))</f>
        <v>1</v>
      </c>
      <c r="T15" s="15" t="str">
        <f>IF(COUNTIFS(InherentProbability,$X5,InherentImpact,$Y$4)=0,"",COUNTIFS(InherentProbability,$X5,InherentImpact,$Y$4))</f>
        <v/>
      </c>
      <c r="U15" s="17" t="str">
        <f>IF(COUNTIFS(InherentProbability,$X5,InherentImpact,$Y$3)=0,"",COUNTIFS(InherentProbability,$X5,InherentImpact,$Y$3))</f>
        <v/>
      </c>
    </row>
    <row r="16" spans="2:26" ht="48" x14ac:dyDescent="0.3">
      <c r="B16" s="4" t="str">
        <f>IF(C16="","",MAX(B$6:B15)+1)</f>
        <v/>
      </c>
      <c r="C16" s="51"/>
      <c r="D16" s="52" t="s">
        <v>30</v>
      </c>
      <c r="E16" s="53"/>
      <c r="F16" s="26"/>
      <c r="G16" s="26"/>
      <c r="H16" s="25" t="str">
        <f t="shared" si="2"/>
        <v/>
      </c>
      <c r="I16" s="53"/>
      <c r="J16" s="53"/>
      <c r="K16" s="26"/>
      <c r="L16" s="26"/>
      <c r="M16" s="36" t="str">
        <f t="shared" si="1"/>
        <v/>
      </c>
      <c r="O16" s="90"/>
      <c r="P16" s="6" t="str">
        <f>X$6</f>
        <v>Low</v>
      </c>
      <c r="Q16" s="43" t="str">
        <f>IF(COUNTIFS(InherentProbability,$X6,InherentImpact,$Y$7)=0,"",COUNTIFS(InherentProbability,$X6,InherentImpact,$Y$7))</f>
        <v/>
      </c>
      <c r="R16" s="18" t="str">
        <f>IF(COUNTIFS(InherentProbability,$X6,InherentImpact,$Y$6)=0,"",COUNTIFS(InherentProbability,$X6,InherentImpact,$Y$6))</f>
        <v/>
      </c>
      <c r="S16" s="14">
        <f>IF(COUNTIFS(InherentProbability,$X6,InherentImpact,$Y$5)=0,"",COUNTIFS(InherentProbability,$X6,InherentImpact,$Y$5))</f>
        <v>1</v>
      </c>
      <c r="T16" s="15">
        <f>IF(COUNTIFS(InherentProbability,$X6,InherentImpact,$Y$4)=0,"",COUNTIFS(InherentProbability,$X6,InherentImpact,$Y$4))</f>
        <v>1</v>
      </c>
      <c r="U16" s="17" t="str">
        <f>IF(COUNTIFS(InherentProbability,$X6,InherentImpact,$Y$3)=0,"",COUNTIFS(InherentProbability,$X6,InherentImpact,$Y$3))</f>
        <v/>
      </c>
    </row>
    <row r="17" spans="2:21" ht="48" customHeight="1" thickBot="1" x14ac:dyDescent="0.35">
      <c r="B17" s="4" t="str">
        <f>IF(C17="","",MAX(B$6:B16)+1)</f>
        <v/>
      </c>
      <c r="C17" s="51"/>
      <c r="D17" s="52" t="s">
        <v>30</v>
      </c>
      <c r="E17" s="53"/>
      <c r="F17" s="26"/>
      <c r="G17" s="26"/>
      <c r="H17" s="25" t="str">
        <f>IFERROR(INDEX(Q$6:U$10,MATCH(F17,P$6:P$10,0),MATCH(G17,Q$5:U$5,0)),"")</f>
        <v/>
      </c>
      <c r="I17" s="53"/>
      <c r="J17" s="53"/>
      <c r="K17" s="26"/>
      <c r="L17" s="26"/>
      <c r="M17" s="36" t="str">
        <f t="shared" si="1"/>
        <v/>
      </c>
      <c r="O17" s="91"/>
      <c r="P17" s="7" t="str">
        <f>X$7</f>
        <v>Very Low</v>
      </c>
      <c r="Q17" s="44" t="str">
        <f>IF(COUNTIFS(InherentProbability,$X7,InherentImpact,$Y$7)=0,"",COUNTIFS(InherentProbability,$X7,InherentImpact,$Y$7))</f>
        <v/>
      </c>
      <c r="R17" s="20" t="str">
        <f>IF(COUNTIFS(InherentProbability,$X7,InherentImpact,$Y$6)=0,"",COUNTIFS(InherentProbability,$X7,InherentImpact,$Y$6))</f>
        <v/>
      </c>
      <c r="S17" s="20" t="str">
        <f>IF(COUNTIFS(InherentProbability,$X7,InherentImpact,$Y$5)=0,"",COUNTIFS(InherentProbability,$X7,InherentImpact,$Y$5))</f>
        <v/>
      </c>
      <c r="T17" s="21" t="str">
        <f>IF(COUNTIFS(InherentProbability,$X7,InherentImpact,$Y$4)=0,"",COUNTIFS(InherentProbability,$X7,InherentImpact,$Y$4))</f>
        <v/>
      </c>
      <c r="U17" s="22" t="str">
        <f>IF(COUNTIFS(InherentProbability,$X7,InherentImpact,$Y$3)=0,"",COUNTIFS(InherentProbability,$X7,InherentImpact,$Y$3))</f>
        <v/>
      </c>
    </row>
    <row r="18" spans="2:21" ht="48" customHeight="1" thickBot="1" x14ac:dyDescent="0.45">
      <c r="B18" s="4" t="str">
        <f>IF(C18="","",MAX(B$6:B17)+1)</f>
        <v/>
      </c>
      <c r="C18" s="51"/>
      <c r="D18" s="52" t="s">
        <v>30</v>
      </c>
      <c r="E18" s="53"/>
      <c r="F18" s="26"/>
      <c r="G18" s="26"/>
      <c r="H18" s="25" t="str">
        <f t="shared" si="2"/>
        <v/>
      </c>
      <c r="I18" s="53"/>
      <c r="J18" s="53"/>
      <c r="K18" s="26"/>
      <c r="L18" s="26"/>
      <c r="M18" s="36" t="str">
        <f t="shared" si="1"/>
        <v/>
      </c>
      <c r="O18" s="28" t="s">
        <v>29</v>
      </c>
      <c r="P18" s="9"/>
      <c r="Q18" s="9"/>
    </row>
    <row r="19" spans="2:21" ht="48" customHeight="1" thickBot="1" x14ac:dyDescent="0.35">
      <c r="B19" s="4" t="str">
        <f>IF(C19="","",MAX(B$6:B18)+1)</f>
        <v/>
      </c>
      <c r="C19" s="51"/>
      <c r="D19" s="52" t="s">
        <v>30</v>
      </c>
      <c r="E19" s="53"/>
      <c r="F19" s="26"/>
      <c r="G19" s="26"/>
      <c r="H19" s="25" t="str">
        <f t="shared" si="2"/>
        <v/>
      </c>
      <c r="I19" s="53"/>
      <c r="J19" s="53"/>
      <c r="K19" s="26"/>
      <c r="L19" s="26"/>
      <c r="M19" s="36" t="str">
        <f t="shared" si="1"/>
        <v/>
      </c>
      <c r="O19" s="92" t="s">
        <v>2</v>
      </c>
      <c r="P19" s="93"/>
      <c r="Q19" s="32" t="str">
        <f>Y$7</f>
        <v>Very Low</v>
      </c>
      <c r="R19" s="8" t="str">
        <f>Y$6</f>
        <v>Low</v>
      </c>
      <c r="S19" s="8" t="str">
        <f>Y$5</f>
        <v>Medium</v>
      </c>
      <c r="T19" s="8" t="str">
        <f>Y$4</f>
        <v>High</v>
      </c>
      <c r="U19" s="33" t="str">
        <f>Y$3</f>
        <v>Very High</v>
      </c>
    </row>
    <row r="20" spans="2:21" ht="48" customHeight="1" x14ac:dyDescent="0.3">
      <c r="B20" s="4" t="str">
        <f>IF(C20="","",MAX(B$6:B19)+1)</f>
        <v/>
      </c>
      <c r="C20" s="51"/>
      <c r="D20" s="52" t="s">
        <v>30</v>
      </c>
      <c r="E20" s="53"/>
      <c r="F20" s="26"/>
      <c r="G20" s="26"/>
      <c r="H20" s="25" t="str">
        <f t="shared" ref="H20:H23" si="3">IFERROR(INDEX(Q$6:U$10,MATCH(F20,P$6:P$10,0),MATCH(G20,Q$5:U$5,0)),"")</f>
        <v/>
      </c>
      <c r="I20" s="53"/>
      <c r="J20" s="53"/>
      <c r="K20" s="26"/>
      <c r="L20" s="26"/>
      <c r="M20" s="36" t="str">
        <f t="shared" si="1"/>
        <v/>
      </c>
      <c r="O20" s="94" t="s">
        <v>3</v>
      </c>
      <c r="P20" s="6" t="str">
        <f>X$3</f>
        <v>Very High</v>
      </c>
      <c r="Q20" s="42" t="str">
        <f>IF(COUNTIFS(ResidualProbability,$X3,ResidualImpact,$Y$7)=0,"",COUNTIFS(ResidualProbability,$X3,ResidualImpact,$Y$7))</f>
        <v/>
      </c>
      <c r="R20" s="10" t="str">
        <f>IF(COUNTIFS(ResidualProbability,$X3,ResidualImpact,$Y$6)=0,"",COUNTIFS(ResidualProbability,$X3,ResidualImpact,$Y$6))</f>
        <v/>
      </c>
      <c r="S20" s="10" t="str">
        <f>IF(COUNTIFS(ResidualProbability,$X3,ResidualImpact,$Y$5)=0,"",COUNTIFS(ResidualProbability,$X3,ResidualImpact,$Y$5))</f>
        <v/>
      </c>
      <c r="T20" s="11" t="str">
        <f>IF(COUNTIFS(ResidualProbability,$X3,ResidualImpact,$Y$4)=0,"",COUNTIFS(ResidualProbability,$X3,ResidualImpact,$Y$4))</f>
        <v/>
      </c>
      <c r="U20" s="12" t="str">
        <f>IF(COUNTIFS(ResidualProbability,$X3,ResidualImpact,$Y$3)=0,"",COUNTIFS(ResidualProbability,$X3,ResidualImpact,$Y$3))</f>
        <v/>
      </c>
    </row>
    <row r="21" spans="2:21" ht="48" customHeight="1" x14ac:dyDescent="0.3">
      <c r="B21" s="4" t="str">
        <f>IF(C21="","",MAX(B$6:B20)+1)</f>
        <v/>
      </c>
      <c r="C21" s="51"/>
      <c r="D21" s="52" t="s">
        <v>30</v>
      </c>
      <c r="E21" s="53"/>
      <c r="F21" s="26"/>
      <c r="G21" s="26"/>
      <c r="H21" s="25" t="str">
        <f t="shared" si="3"/>
        <v/>
      </c>
      <c r="I21" s="53"/>
      <c r="J21" s="53"/>
      <c r="K21" s="26"/>
      <c r="L21" s="26"/>
      <c r="M21" s="36" t="str">
        <f t="shared" si="1"/>
        <v/>
      </c>
      <c r="O21" s="90"/>
      <c r="P21" s="6" t="str">
        <f>X$4</f>
        <v>High</v>
      </c>
      <c r="Q21" s="13" t="str">
        <f>IF(COUNTIFS(ResidualProbability,$X4,ResidualImpact,$Y$7)=0,"",COUNTIFS(ResidualProbability,$X4,ResidualImpact,$Y$7))</f>
        <v/>
      </c>
      <c r="R21" s="14" t="str">
        <f>IF(COUNTIFS(ResidualProbability,$X4,ResidualImpact,$Y$6)=0,"",COUNTIFS(ResidualProbability,$X4,ResidualImpact,$Y$6))</f>
        <v/>
      </c>
      <c r="S21" s="15" t="str">
        <f>IF(COUNTIFS(ResidualProbability,$X4,ResidualImpact,$Y$5)=0,"",COUNTIFS(ResidualProbability,$X4,ResidualImpact,$Y$5))</f>
        <v/>
      </c>
      <c r="T21" s="16" t="str">
        <f>IF(COUNTIFS(ResidualProbability,$X4,ResidualImpact,$Y$4)=0,"",COUNTIFS(ResidualProbability,$X4,ResidualImpact,$Y$4))</f>
        <v/>
      </c>
      <c r="U21" s="17" t="str">
        <f>IF(COUNTIFS(ResidualProbability,$X4,ResidualImpact,$Y$3)=0,"",COUNTIFS(ResidualProbability,$X4,ResidualImpact,$Y$3))</f>
        <v/>
      </c>
    </row>
    <row r="22" spans="2:21" ht="48" customHeight="1" x14ac:dyDescent="0.3">
      <c r="B22" s="4" t="str">
        <f>IF(C22="","",MAX(B$6:B21)+1)</f>
        <v/>
      </c>
      <c r="C22" s="51"/>
      <c r="D22" s="52" t="s">
        <v>30</v>
      </c>
      <c r="E22" s="53"/>
      <c r="F22" s="26"/>
      <c r="G22" s="26"/>
      <c r="H22" s="25" t="str">
        <f t="shared" si="3"/>
        <v/>
      </c>
      <c r="I22" s="53"/>
      <c r="J22" s="53"/>
      <c r="K22" s="26"/>
      <c r="L22" s="26"/>
      <c r="M22" s="36" t="str">
        <f t="shared" si="1"/>
        <v/>
      </c>
      <c r="O22" s="90"/>
      <c r="P22" s="6" t="str">
        <f>X$5</f>
        <v>Medium</v>
      </c>
      <c r="Q22" s="13">
        <f>IF(COUNTIFS(ResidualProbability,$X5,ResidualImpact,$Y$7)=0,"",COUNTIFS(ResidualProbability,$X5,ResidualImpact,$Y$7))</f>
        <v>1</v>
      </c>
      <c r="R22" s="14" t="str">
        <f>IF(COUNTIFS(ResidualProbability,$X5,ResidualImpact,$Y$6)=0,"",COUNTIFS(ResidualProbability,$X5,ResidualImpact,$Y$6))</f>
        <v/>
      </c>
      <c r="S22" s="14">
        <f>IF(COUNTIFS(ResidualProbability,$X5,ResidualImpact,$Y$5)=0,"",COUNTIFS(ResidualProbability,$X5,ResidualImpact,$Y$5))</f>
        <v>2</v>
      </c>
      <c r="T22" s="15" t="str">
        <f>IF(COUNTIFS(ResidualProbability,$X5,ResidualImpact,$Y$4)=0,"",COUNTIFS(ResidualProbability,$X5,ResidualImpact,$Y$4))</f>
        <v/>
      </c>
      <c r="U22" s="17" t="str">
        <f>IF(COUNTIFS(ResidualProbability,$X5,ResidualImpact,$Y$3)=0,"",COUNTIFS(ResidualProbability,$X5,ResidualImpact,$Y$3))</f>
        <v/>
      </c>
    </row>
    <row r="23" spans="2:21" ht="48" customHeight="1" x14ac:dyDescent="0.3">
      <c r="B23" s="4" t="str">
        <f>IF(C23="","",MAX(B$6:B22)+1)</f>
        <v/>
      </c>
      <c r="C23" s="51"/>
      <c r="D23" s="52" t="s">
        <v>30</v>
      </c>
      <c r="E23" s="53"/>
      <c r="F23" s="26"/>
      <c r="G23" s="26"/>
      <c r="H23" s="25" t="str">
        <f t="shared" si="3"/>
        <v/>
      </c>
      <c r="I23" s="53"/>
      <c r="J23" s="53"/>
      <c r="K23" s="26"/>
      <c r="L23" s="26"/>
      <c r="M23" s="36" t="str">
        <f t="shared" si="1"/>
        <v/>
      </c>
      <c r="O23" s="90"/>
      <c r="P23" s="6" t="str">
        <f>X$6</f>
        <v>Low</v>
      </c>
      <c r="Q23" s="13">
        <f>IF(COUNTIFS(ResidualProbability,$X6,ResidualImpact,$Y$7)=0,"",COUNTIFS(ResidualProbability,$X6,ResidualImpact,$Y$7))</f>
        <v>1</v>
      </c>
      <c r="R23" s="18">
        <f>IF(COUNTIFS(ResidualProbability,$X6,ResidualImpact,$Y$6)=0,"",COUNTIFS(ResidualProbability,$X6,ResidualImpact,$Y$6))</f>
        <v>2</v>
      </c>
      <c r="S23" s="14" t="str">
        <f>IF(COUNTIFS(ResidualProbability,$X6,ResidualImpact,$Y$5)=0,"",COUNTIFS(ResidualProbability,$X6,ResidualImpact,$Y$5))</f>
        <v/>
      </c>
      <c r="T23" s="15">
        <f>IF(COUNTIFS(ResidualProbability,$X6,ResidualImpact,$Y$4)=0,"",COUNTIFS(ResidualProbability,$X6,ResidualImpact,$Y$4))</f>
        <v>1</v>
      </c>
      <c r="U23" s="17" t="str">
        <f>IF(COUNTIFS(ResidualProbability,$X6,ResidualImpact,$Y$3)=0,"",COUNTIFS(ResidualProbability,$X6,ResidualImpact,$Y$3))</f>
        <v/>
      </c>
    </row>
    <row r="24" spans="2:21" ht="48" customHeight="1" thickBot="1" x14ac:dyDescent="0.35">
      <c r="B24" s="4" t="str">
        <f>IF(C24="","",MAX(B$6:B23)+1)</f>
        <v/>
      </c>
      <c r="C24" s="51"/>
      <c r="D24" s="52" t="s">
        <v>30</v>
      </c>
      <c r="E24" s="53"/>
      <c r="F24" s="26"/>
      <c r="G24" s="26"/>
      <c r="H24" s="25" t="str">
        <f t="shared" si="0"/>
        <v/>
      </c>
      <c r="I24" s="53"/>
      <c r="J24" s="53"/>
      <c r="K24" s="26"/>
      <c r="L24" s="26"/>
      <c r="M24" s="36" t="str">
        <f t="shared" si="1"/>
        <v/>
      </c>
      <c r="O24" s="91"/>
      <c r="P24" s="7" t="str">
        <f>X$7</f>
        <v>Very Low</v>
      </c>
      <c r="Q24" s="19" t="str">
        <f>IF(COUNTIFS(ResidualProbability,$X7,ResidualImpact,$Y$7)=0,"",COUNTIFS(ResidualProbability,$X7,ResidualImpact,$Y$7))</f>
        <v/>
      </c>
      <c r="R24" s="20" t="str">
        <f>IF(COUNTIFS(ResidualProbability,$X7,ResidualImpact,$Y$6)=0,"",COUNTIFS(ResidualProbability,$X7,ResidualImpact,$Y$6))</f>
        <v/>
      </c>
      <c r="S24" s="20" t="str">
        <f>IF(COUNTIFS(ResidualProbability,$X7,ResidualImpact,$Y$5)=0,"",COUNTIFS(ResidualProbability,$X7,ResidualImpact,$Y$5))</f>
        <v/>
      </c>
      <c r="T24" s="21" t="str">
        <f>IF(COUNTIFS(ResidualProbability,$X7,ResidualImpact,$Y$4)=0,"",COUNTIFS(ResidualProbability,$X7,ResidualImpact,$Y$4))</f>
        <v/>
      </c>
      <c r="U24" s="22" t="str">
        <f>IF(COUNTIFS(ResidualProbability,$X7,ResidualImpact,$Y$3)=0,"",COUNTIFS(ResidualProbability,$X7,ResidualImpact,$Y$3))</f>
        <v/>
      </c>
    </row>
    <row r="25" spans="2:21" ht="48" customHeight="1" x14ac:dyDescent="0.3">
      <c r="B25" s="4" t="str">
        <f>IF(C25="","",MAX(B$6:B24)+1)</f>
        <v/>
      </c>
      <c r="C25" s="51"/>
      <c r="D25" s="52" t="s">
        <v>30</v>
      </c>
      <c r="E25" s="53"/>
      <c r="F25" s="26"/>
      <c r="G25" s="26"/>
      <c r="H25" s="25" t="str">
        <f t="shared" ref="H25:H32" si="4">IFERROR(INDEX(Q$6:U$10,MATCH(F25,P$6:P$10,0),MATCH(G25,Q$5:U$5,0)),"")</f>
        <v/>
      </c>
      <c r="I25" s="53"/>
      <c r="J25" s="53"/>
      <c r="K25" s="26"/>
      <c r="L25" s="26"/>
      <c r="M25" s="36" t="str">
        <f t="shared" ref="M25:M32" si="5">IFERROR(INDEX(Q$6:U$10,MATCH(K25,P$6:P$10,0),MATCH(L25,Q$5:U$5,0)),"")</f>
        <v/>
      </c>
      <c r="O25" s="35"/>
      <c r="P25" s="9"/>
      <c r="Q25" s="34"/>
      <c r="R25" s="34"/>
      <c r="S25" s="34"/>
      <c r="T25" s="34"/>
      <c r="U25" s="34"/>
    </row>
    <row r="26" spans="2:21" ht="48" customHeight="1" x14ac:dyDescent="0.3">
      <c r="B26" s="4" t="str">
        <f>IF(C26="","",MAX(B$6:B25)+1)</f>
        <v/>
      </c>
      <c r="C26" s="51"/>
      <c r="D26" s="52" t="s">
        <v>30</v>
      </c>
      <c r="E26" s="53"/>
      <c r="F26" s="26"/>
      <c r="G26" s="26"/>
      <c r="H26" s="25" t="str">
        <f t="shared" si="4"/>
        <v/>
      </c>
      <c r="I26" s="53"/>
      <c r="J26" s="53"/>
      <c r="K26" s="26"/>
      <c r="L26" s="26"/>
      <c r="M26" s="36" t="str">
        <f t="shared" si="5"/>
        <v/>
      </c>
      <c r="O26" s="35"/>
      <c r="P26" s="9"/>
      <c r="Q26" s="34"/>
      <c r="R26" s="34"/>
      <c r="S26" s="34"/>
      <c r="T26" s="34"/>
      <c r="U26" s="34"/>
    </row>
    <row r="27" spans="2:21" ht="48" customHeight="1" x14ac:dyDescent="0.3">
      <c r="B27" s="4" t="str">
        <f>IF(C27="","",MAX(B$6:B26)+1)</f>
        <v/>
      </c>
      <c r="C27" s="51"/>
      <c r="D27" s="52" t="s">
        <v>30</v>
      </c>
      <c r="E27" s="53"/>
      <c r="F27" s="26"/>
      <c r="G27" s="26"/>
      <c r="H27" s="25" t="str">
        <f t="shared" si="4"/>
        <v/>
      </c>
      <c r="I27" s="53"/>
      <c r="J27" s="53"/>
      <c r="K27" s="26"/>
      <c r="L27" s="26"/>
      <c r="M27" s="36" t="str">
        <f t="shared" si="5"/>
        <v/>
      </c>
      <c r="O27" s="35"/>
      <c r="P27" s="9"/>
      <c r="Q27" s="34"/>
      <c r="R27" s="34"/>
      <c r="S27" s="34"/>
      <c r="T27" s="34"/>
      <c r="U27" s="34"/>
    </row>
    <row r="28" spans="2:21" ht="48" x14ac:dyDescent="0.3">
      <c r="B28" s="4" t="str">
        <f>IF(C28="","",MAX(B$6:B27)+1)</f>
        <v/>
      </c>
      <c r="C28" s="51"/>
      <c r="D28" s="52" t="s">
        <v>30</v>
      </c>
      <c r="E28" s="53"/>
      <c r="F28" s="26"/>
      <c r="G28" s="26"/>
      <c r="H28" s="25" t="str">
        <f t="shared" si="4"/>
        <v/>
      </c>
      <c r="I28" s="53"/>
      <c r="J28" s="53"/>
      <c r="K28" s="26"/>
      <c r="L28" s="26"/>
      <c r="M28" s="36" t="str">
        <f t="shared" si="5"/>
        <v/>
      </c>
      <c r="O28" s="35"/>
      <c r="P28" s="9"/>
      <c r="Q28" s="34"/>
      <c r="R28" s="34"/>
      <c r="S28" s="34"/>
      <c r="T28" s="34"/>
      <c r="U28" s="34"/>
    </row>
    <row r="29" spans="2:21" ht="48" x14ac:dyDescent="0.3">
      <c r="B29" s="4" t="str">
        <f>IF(C29="","",MAX(B$6:B28)+1)</f>
        <v/>
      </c>
      <c r="C29" s="51"/>
      <c r="D29" s="52" t="s">
        <v>30</v>
      </c>
      <c r="E29" s="53"/>
      <c r="F29" s="26"/>
      <c r="G29" s="26"/>
      <c r="H29" s="25" t="str">
        <f t="shared" si="4"/>
        <v/>
      </c>
      <c r="I29" s="53"/>
      <c r="J29" s="53"/>
      <c r="K29" s="26"/>
      <c r="L29" s="26"/>
      <c r="M29" s="36" t="str">
        <f>IFERROR(INDEX(Q$6:U$10,MATCH(K29,P$6:P$10,0),MATCH(L29,Q$5:U$5,0)),"")</f>
        <v/>
      </c>
    </row>
    <row r="30" spans="2:21" ht="48" x14ac:dyDescent="0.3">
      <c r="B30" s="4" t="str">
        <f>IF(C30="","",MAX(B$6:B29)+1)</f>
        <v/>
      </c>
      <c r="C30" s="51"/>
      <c r="D30" s="52" t="s">
        <v>30</v>
      </c>
      <c r="E30" s="53"/>
      <c r="F30" s="26"/>
      <c r="G30" s="26"/>
      <c r="H30" s="25" t="str">
        <f t="shared" si="4"/>
        <v/>
      </c>
      <c r="I30" s="53"/>
      <c r="J30" s="53"/>
      <c r="K30" s="26"/>
      <c r="L30" s="26"/>
      <c r="M30" s="36" t="str">
        <f t="shared" si="5"/>
        <v/>
      </c>
    </row>
    <row r="31" spans="2:21" ht="48" x14ac:dyDescent="0.3">
      <c r="B31" s="4" t="str">
        <f>IF(C31="","",MAX(B$6:B30)+1)</f>
        <v/>
      </c>
      <c r="C31" s="51"/>
      <c r="D31" s="52" t="s">
        <v>30</v>
      </c>
      <c r="E31" s="53"/>
      <c r="F31" s="26"/>
      <c r="G31" s="26"/>
      <c r="H31" s="25" t="str">
        <f t="shared" si="4"/>
        <v/>
      </c>
      <c r="I31" s="53"/>
      <c r="J31" s="53"/>
      <c r="K31" s="26"/>
      <c r="L31" s="26"/>
      <c r="M31" s="36" t="str">
        <f t="shared" si="5"/>
        <v/>
      </c>
    </row>
    <row r="32" spans="2:21" ht="48.6" thickBot="1" x14ac:dyDescent="0.35">
      <c r="B32" s="78" t="str">
        <f>IF(C32="","",MAX(B$6:B31)+1)</f>
        <v/>
      </c>
      <c r="C32" s="54"/>
      <c r="D32" s="55" t="s">
        <v>30</v>
      </c>
      <c r="E32" s="56"/>
      <c r="F32" s="27"/>
      <c r="G32" s="27"/>
      <c r="H32" s="79" t="str">
        <f t="shared" si="4"/>
        <v/>
      </c>
      <c r="I32" s="56"/>
      <c r="J32" s="56"/>
      <c r="K32" s="27"/>
      <c r="L32" s="27"/>
      <c r="M32" s="37" t="str">
        <f t="shared" si="5"/>
        <v/>
      </c>
    </row>
    <row r="33" spans="2:13" ht="48" customHeight="1" x14ac:dyDescent="0.3">
      <c r="B33" s="2"/>
      <c r="C33" s="50"/>
      <c r="D33" s="50"/>
      <c r="E33" s="95" t="s">
        <v>47</v>
      </c>
      <c r="F33" s="96">
        <f>((COUNTIF(InherentProbability,$X$7) * 1) +
(COUNTIF(InherentProbability,$X$6) * 2) +
(COUNTIF(InherentProbability,$X$5) * 3) +
(COUNTIF(InherentProbability,$X$4) * 4) +
(COUNTIF(InherentProbability,$X$3) * 5))
/ COUNTA(InherentProbability)</f>
        <v>3</v>
      </c>
      <c r="G33" s="96">
        <f>((COUNTIF(InherentImpact,$Y$7)*1)+
(COUNTIF(InherentImpact,$Y$6)*2)+
(COUNTIF(InherentImpact,$Y$5)*3)+
(COUNTIF(InherentImpact,$Y$4)*4)+
(COUNTIF(InherentImpact,$Y$3)*5))
/COUNTA(InherentImpact)</f>
        <v>2.5714285714285716</v>
      </c>
      <c r="H33" s="50"/>
      <c r="I33" s="9"/>
      <c r="J33" s="95" t="s">
        <v>49</v>
      </c>
      <c r="K33" s="96">
        <f>((COUNTIF(ResidualProbability, $X$7) * 1) +
(COUNTIF(ResidualProbability, $X$6) * 2) +
(COUNTIF(ResidualProbability, $X$5) * 3) +
(COUNTIF(ResidualProbability, $X$4) * 4) +
(COUNTIF(ResidualProbability, $X$3) * 5))
/ COUNTA(ResidualProbability)</f>
        <v>2.4285714285714284</v>
      </c>
      <c r="L33" s="96">
        <f>((COUNTIF(ResidualImpact, $Y$7)*1)+
(COUNTIF(ResidualImpact, $Y$6)*2)+
(COUNTIF(ResidualImpact, $Y$5)*3)+
(COUNTIF(ResidualImpact, $Y$4)*4)+
(COUNTIF(ResidualImpact, $Y$3)*5))
/COUNTA(ResidualImpact)</f>
        <v>2.2857142857142856</v>
      </c>
      <c r="M33" s="50"/>
    </row>
    <row r="34" spans="2:13" ht="48" customHeight="1" x14ac:dyDescent="0.3">
      <c r="B34" s="2"/>
      <c r="C34" s="50"/>
      <c r="D34" s="50"/>
      <c r="E34" s="97" t="s">
        <v>48</v>
      </c>
      <c r="F34" s="98" t="str">
        <f>IF(F33&lt;=1.7, X$7,
IF(F33&lt;=2.5, X$6,
IF(F33&lt;=3.3, X$5,
IF(F33&lt;=4.1, X$4,
IF(F33&lt;=5, X$3,"")))))</f>
        <v>Medium</v>
      </c>
      <c r="G34" s="98" t="str">
        <f>IF(G33&lt;=1.7, Y$7,
IF(G33&lt;=2.5, Y$6,
IF(G33&lt;=3.3, Y$5,
IF(G33&lt;=4.1, Y$4,
IF(G33&lt;=5, Y$3,"")))))</f>
        <v>Medium</v>
      </c>
      <c r="H34" s="99" t="str">
        <f>IFERROR(INDEX(Q$6:U$10,MATCH(F34,$P$6:$P$10,0),MATCH(G34,$Q$5:$U$5,0)),"")</f>
        <v>Moderate</v>
      </c>
      <c r="J34" s="97" t="s">
        <v>50</v>
      </c>
      <c r="K34" s="98" t="str">
        <f>IF(K33&lt;=1.7,X$7,
IF(K33&lt;=2.5,X$6,
IF(K33&lt;=3.3,X$5,
IF(K33&lt;=4.1,X$4,
IF(K33&lt;=5,X$3,"")))))</f>
        <v>Low</v>
      </c>
      <c r="L34" s="98" t="str">
        <f>IF(L33&lt;=1.7, Y$7,
IF(L33&lt;=2.5, Y$6,
IF(L33&lt;=3.3, Y$5,
IF(L33&lt;=4.1, Y$4,
IF(L33&lt;=5, Y$3,"")))))</f>
        <v>Low</v>
      </c>
      <c r="M34" s="99" t="str">
        <f>IFERROR(INDEX(Q$6:U$10,MATCH(K34,$P$6:$P$10,0),MATCH(L34,$Q$5:$U$5,0)),"")</f>
        <v>Sustainable</v>
      </c>
    </row>
    <row r="35" spans="2:13" ht="48" customHeight="1" x14ac:dyDescent="0.3"/>
    <row r="36" spans="2:13" ht="48" customHeight="1" x14ac:dyDescent="0.3">
      <c r="C36" s="30"/>
      <c r="D36" s="30"/>
    </row>
    <row r="37" spans="2:13" ht="48" customHeight="1" x14ac:dyDescent="0.3"/>
    <row r="38" spans="2:13" ht="48" customHeight="1" x14ac:dyDescent="0.3">
      <c r="C38" s="31"/>
    </row>
    <row r="39" spans="2:13" ht="48" customHeight="1" x14ac:dyDescent="0.3">
      <c r="C39" s="31"/>
    </row>
    <row r="40" spans="2:13" ht="48" customHeight="1" x14ac:dyDescent="0.3">
      <c r="C40" s="31"/>
    </row>
    <row r="41" spans="2:13" ht="48" customHeight="1" x14ac:dyDescent="0.3">
      <c r="C41" s="31"/>
    </row>
    <row r="42" spans="2:13" ht="48" customHeight="1" x14ac:dyDescent="0.3">
      <c r="C42" s="31"/>
    </row>
    <row r="43" spans="2:13" ht="48" customHeight="1" x14ac:dyDescent="0.3"/>
    <row r="44" spans="2:13" ht="48" customHeight="1" x14ac:dyDescent="0.3"/>
    <row r="45" spans="2:13" ht="48" customHeight="1" x14ac:dyDescent="0.3"/>
    <row r="46" spans="2:13" ht="48" customHeight="1" x14ac:dyDescent="0.3"/>
    <row r="47" spans="2:13" ht="48" customHeight="1" x14ac:dyDescent="0.3"/>
    <row r="48" spans="2:13" ht="48" customHeight="1" x14ac:dyDescent="0.3"/>
    <row r="49" ht="48" customHeight="1" x14ac:dyDescent="0.3"/>
    <row r="50" ht="48" customHeight="1" x14ac:dyDescent="0.3"/>
    <row r="51" ht="48" customHeight="1" x14ac:dyDescent="0.3"/>
    <row r="52" ht="48" customHeight="1" x14ac:dyDescent="0.3"/>
    <row r="53" ht="48" customHeight="1" x14ac:dyDescent="0.3"/>
    <row r="54" ht="48" customHeight="1" x14ac:dyDescent="0.3"/>
    <row r="55" ht="48" customHeight="1" x14ac:dyDescent="0.3"/>
    <row r="56" ht="48" customHeight="1" x14ac:dyDescent="0.3"/>
    <row r="57" ht="48" customHeight="1" x14ac:dyDescent="0.3"/>
    <row r="58" ht="48" customHeight="1" x14ac:dyDescent="0.3"/>
    <row r="59" ht="48" customHeight="1" x14ac:dyDescent="0.3"/>
    <row r="60" ht="48" customHeight="1" x14ac:dyDescent="0.3"/>
    <row r="61" ht="48" customHeight="1" x14ac:dyDescent="0.3"/>
    <row r="62" ht="48" customHeight="1" x14ac:dyDescent="0.3"/>
    <row r="63" ht="48" customHeight="1" x14ac:dyDescent="0.3"/>
    <row r="64" ht="48" customHeight="1" x14ac:dyDescent="0.3"/>
    <row r="65" ht="48" customHeight="1" x14ac:dyDescent="0.3"/>
    <row r="66" ht="48" customHeight="1" x14ac:dyDescent="0.3"/>
    <row r="67" ht="48" customHeight="1" x14ac:dyDescent="0.3"/>
    <row r="68" ht="48" customHeight="1" x14ac:dyDescent="0.3"/>
    <row r="69" ht="48" customHeight="1" x14ac:dyDescent="0.3"/>
    <row r="70" ht="48" customHeight="1" x14ac:dyDescent="0.3"/>
    <row r="71" ht="48" customHeight="1" x14ac:dyDescent="0.3"/>
  </sheetData>
  <mergeCells count="10">
    <mergeCell ref="O6:O10"/>
    <mergeCell ref="O12:P12"/>
    <mergeCell ref="O13:O17"/>
    <mergeCell ref="O19:P19"/>
    <mergeCell ref="O20:O24"/>
    <mergeCell ref="B1:M1"/>
    <mergeCell ref="F4:H4"/>
    <mergeCell ref="K4:M4"/>
    <mergeCell ref="F2:H2"/>
    <mergeCell ref="O4:U4"/>
  </mergeCells>
  <conditionalFormatting sqref="H6:H32 M6:M32">
    <cfRule type="containsText" dxfId="19" priority="17" operator="containsText" text="Sustainable">
      <formula>NOT(ISERROR(SEARCH("Sustainable",H6)))</formula>
    </cfRule>
    <cfRule type="containsText" dxfId="18" priority="18" operator="containsText" text="Moderate">
      <formula>NOT(ISERROR(SEARCH("Moderate",H6)))</formula>
    </cfRule>
    <cfRule type="containsText" dxfId="17" priority="19" operator="containsText" text="Critical">
      <formula>NOT(ISERROR(SEARCH("Critical",H6)))</formula>
    </cfRule>
    <cfRule type="containsText" dxfId="16" priority="20" operator="containsText" text="Severe">
      <formula>NOT(ISERROR(SEARCH("Severe",H6)))</formula>
    </cfRule>
  </conditionalFormatting>
  <conditionalFormatting sqref="H34">
    <cfRule type="containsText" dxfId="11" priority="9" operator="containsText" text="Sustainable">
      <formula>NOT(ISERROR(SEARCH("Sustainable",H34)))</formula>
    </cfRule>
    <cfRule type="containsText" dxfId="10" priority="10" operator="containsText" text="Moderate">
      <formula>NOT(ISERROR(SEARCH("Moderate",H34)))</formula>
    </cfRule>
    <cfRule type="containsText" dxfId="9" priority="11" operator="containsText" text="Critical">
      <formula>NOT(ISERROR(SEARCH("Critical",H34)))</formula>
    </cfRule>
    <cfRule type="containsText" dxfId="8" priority="12" operator="containsText" text="Severe">
      <formula>NOT(ISERROR(SEARCH("Severe",H34)))</formula>
    </cfRule>
  </conditionalFormatting>
  <conditionalFormatting sqref="M34">
    <cfRule type="containsText" dxfId="3" priority="1" operator="containsText" text="Sustainable">
      <formula>NOT(ISERROR(SEARCH("Sustainable",M34)))</formula>
    </cfRule>
    <cfRule type="containsText" dxfId="2" priority="2" operator="containsText" text="Moderate">
      <formula>NOT(ISERROR(SEARCH("Moderate",M34)))</formula>
    </cfRule>
    <cfRule type="containsText" dxfId="1" priority="3" operator="containsText" text="Critical">
      <formula>NOT(ISERROR(SEARCH("Critical",M34)))</formula>
    </cfRule>
    <cfRule type="containsText" dxfId="0" priority="4" operator="containsText" text="Severe">
      <formula>NOT(ISERROR(SEARCH("Severe",M34)))</formula>
    </cfRule>
  </conditionalFormatting>
  <dataValidations disablePrompts="1" count="2">
    <dataValidation type="list" allowBlank="1" showInputMessage="1" showErrorMessage="1" sqref="F6:F32 K6:K32" xr:uid="{00000000-0002-0000-0000-000000000000}">
      <formula1>$X$3:$X$7</formula1>
    </dataValidation>
    <dataValidation type="list" allowBlank="1" showInputMessage="1" showErrorMessage="1" sqref="G6:G32 L6:L32" xr:uid="{00000000-0002-0000-0000-000001000000}">
      <formula1>$Y$3:$Y$7</formula1>
    </dataValidation>
  </dataValidations>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63"/>
      <c r="B1" s="64" t="s">
        <v>42</v>
      </c>
      <c r="C1" s="63"/>
    </row>
    <row r="2" spans="1:3" ht="15" x14ac:dyDescent="0.3">
      <c r="A2" s="65"/>
      <c r="B2" s="65"/>
      <c r="C2" s="66"/>
    </row>
    <row r="3" spans="1:3" ht="19.2" customHeight="1" x14ac:dyDescent="0.3">
      <c r="A3" s="65"/>
      <c r="B3" s="65" t="s">
        <v>46</v>
      </c>
      <c r="C3" s="66"/>
    </row>
    <row r="4" spans="1:3" ht="15" x14ac:dyDescent="0.3">
      <c r="A4" s="65"/>
      <c r="B4" s="65"/>
      <c r="C4" s="66"/>
    </row>
    <row r="5" spans="1:3" ht="45" x14ac:dyDescent="0.3">
      <c r="A5" s="65"/>
      <c r="B5" s="67" t="s">
        <v>37</v>
      </c>
      <c r="C5" s="66"/>
    </row>
    <row r="6" spans="1:3" ht="15" x14ac:dyDescent="0.3">
      <c r="A6" s="65"/>
      <c r="B6" s="65"/>
      <c r="C6" s="66"/>
    </row>
    <row r="7" spans="1:3" ht="30" x14ac:dyDescent="0.3">
      <c r="A7" s="65"/>
      <c r="B7" s="67" t="s">
        <v>38</v>
      </c>
      <c r="C7" s="66"/>
    </row>
    <row r="8" spans="1:3" ht="15" x14ac:dyDescent="0.3">
      <c r="A8" s="65"/>
      <c r="B8" s="65"/>
      <c r="C8" s="66"/>
    </row>
    <row r="9" spans="1:3" ht="45.6" x14ac:dyDescent="0.3">
      <c r="A9" s="65"/>
      <c r="B9" s="67" t="s">
        <v>39</v>
      </c>
      <c r="C9" s="66"/>
    </row>
    <row r="10" spans="1:3" ht="15" x14ac:dyDescent="0.3">
      <c r="A10" s="65"/>
      <c r="B10" s="65"/>
      <c r="C10" s="66"/>
    </row>
    <row r="11" spans="1:3" ht="15" x14ac:dyDescent="0.3">
      <c r="A11" s="65"/>
      <c r="B11" s="65" t="s">
        <v>44</v>
      </c>
      <c r="C11" s="66"/>
    </row>
    <row r="12" spans="1:3" ht="15" x14ac:dyDescent="0.3">
      <c r="A12" s="65"/>
      <c r="B12" s="65"/>
      <c r="C12" s="66"/>
    </row>
    <row r="13" spans="1:3" ht="24" customHeight="1" thickBot="1" x14ac:dyDescent="0.35">
      <c r="A13" s="65"/>
      <c r="B13" s="68" t="s">
        <v>40</v>
      </c>
      <c r="C13" s="66"/>
    </row>
    <row r="14" spans="1:3" ht="15" x14ac:dyDescent="0.3">
      <c r="A14" s="65"/>
      <c r="B14" s="65"/>
      <c r="C14" s="66"/>
    </row>
    <row r="15" spans="1:3" ht="90" x14ac:dyDescent="0.3">
      <c r="A15" s="65"/>
      <c r="B15" s="67" t="s">
        <v>41</v>
      </c>
      <c r="C15" s="66"/>
    </row>
    <row r="16" spans="1:3" ht="15" x14ac:dyDescent="0.3">
      <c r="A16" s="65"/>
      <c r="B16" s="65"/>
      <c r="C16" s="66"/>
    </row>
    <row r="17" spans="1:3" ht="15" x14ac:dyDescent="0.3">
      <c r="A17" s="65"/>
      <c r="B17" s="65"/>
      <c r="C17" s="66"/>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Risk Assessment One Page</vt:lpstr>
      <vt:lpstr>©</vt:lpstr>
      <vt:lpstr>InherentImpact</vt:lpstr>
      <vt:lpstr>InherentProbability</vt:lpstr>
      <vt:lpstr>ResidualImpact</vt:lpstr>
      <vt:lpstr>ResidualProbability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2024-03-13T01:29:49Z</dcterms:created>
  <dcterms:modified xsi:type="dcterms:W3CDTF">2024-04-30T06:55:05Z</dcterms:modified>
</cp:coreProperties>
</file>