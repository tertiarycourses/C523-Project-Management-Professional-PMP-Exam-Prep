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filterPrivacy="1"/>
  <xr:revisionPtr revIDLastSave="0" documentId="13_ncr:1_{103CB116-2234-4A38-ADA2-FA96902D3176}" xr6:coauthVersionLast="47" xr6:coauthVersionMax="47" xr10:uidLastSave="{00000000-0000-0000-0000-000000000000}"/>
  <bookViews>
    <workbookView xWindow="-108" yWindow="-108" windowWidth="23256" windowHeight="12576" xr2:uid="{00000000-000D-0000-FFFF-FFFF00000000}"/>
  </bookViews>
  <sheets>
    <sheet name="Compounding Analysis" sheetId="1" r:id="rId1"/>
    <sheet name="©" sheetId="2" r:id="rId2"/>
  </sheets>
  <definedNames>
    <definedName name="MyRange">OFFSET('Compounding Analysis'!$C$7,1,0,1,'Compounding Analysis'!$C$4)</definedName>
    <definedName name="_xlnm.Print_Area" localSheetId="0">'Compounding Analysis'!$A$1:$L$32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4" i="1" l="1"/>
  <c r="C8" i="1"/>
  <c r="D8" i="1" l="1"/>
  <c r="E8" i="1" s="1"/>
  <c r="F8" i="1" s="1"/>
  <c r="G8" i="1" s="1"/>
  <c r="H8" i="1" s="1"/>
  <c r="I8" i="1" s="1"/>
  <c r="J8" i="1" s="1"/>
  <c r="K8" i="1" s="1"/>
  <c r="L8" i="1" s="1"/>
  <c r="M8" i="1" s="1"/>
  <c r="N8" i="1" s="1"/>
  <c r="O8" i="1" s="1"/>
  <c r="P8" i="1" s="1"/>
  <c r="Q8" i="1" s="1"/>
  <c r="R8" i="1" l="1"/>
  <c r="S8" i="1" s="1"/>
  <c r="T8" i="1" s="1"/>
  <c r="U8" i="1" s="1"/>
  <c r="V8" i="1" s="1"/>
  <c r="W8" i="1" s="1"/>
  <c r="X8" i="1" s="1"/>
  <c r="Y8" i="1" s="1"/>
  <c r="Z8" i="1" s="1"/>
  <c r="AA8" i="1" s="1"/>
  <c r="AB8" i="1" s="1"/>
  <c r="AC8" i="1" s="1"/>
  <c r="AD8" i="1" s="1"/>
  <c r="AE8" i="1" s="1"/>
  <c r="AF8" i="1" s="1"/>
  <c r="AG8" i="1" s="1"/>
  <c r="AH8" i="1" s="1"/>
  <c r="AI8" i="1" s="1"/>
  <c r="AJ8" i="1" s="1"/>
  <c r="AK8" i="1" s="1"/>
  <c r="AL8" i="1" s="1"/>
  <c r="AM8" i="1" s="1"/>
  <c r="AN8" i="1" s="1"/>
  <c r="AO8" i="1" s="1"/>
  <c r="AP8" i="1" s="1"/>
  <c r="AQ8" i="1" s="1"/>
  <c r="AR8" i="1" s="1"/>
  <c r="AS8" i="1" s="1"/>
  <c r="AT8" i="1" s="1"/>
  <c r="AU8" i="1" s="1"/>
  <c r="AV8" i="1" s="1"/>
  <c r="AW8" i="1" s="1"/>
  <c r="AX8" i="1" s="1"/>
  <c r="AY8" i="1" s="1"/>
  <c r="AZ8" i="1" s="1"/>
  <c r="G4" i="1"/>
</calcChain>
</file>

<file path=xl/sharedStrings.xml><?xml version="1.0" encoding="utf-8"?>
<sst xmlns="http://schemas.openxmlformats.org/spreadsheetml/2006/main" count="19" uniqueCount="19">
  <si>
    <t xml:space="preserve">Annual Return  </t>
  </si>
  <si>
    <t xml:space="preserve">How many years invested?  </t>
  </si>
  <si>
    <t xml:space="preserve">Years  </t>
  </si>
  <si>
    <t>Additional Deposits (yearly)</t>
  </si>
  <si>
    <t xml:space="preserve">Current Amount  </t>
  </si>
  <si>
    <t>Final Amount</t>
  </si>
  <si>
    <t xml:space="preserve">Amount  </t>
  </si>
  <si>
    <t>Total Amount Contributed</t>
  </si>
  <si>
    <t>◄ Enter your Current Amount and Annual Return</t>
  </si>
  <si>
    <t>◄ Enter How many years you will invest, and how much you will add each year.</t>
  </si>
  <si>
    <t>◄ View the final amount, and the chart below.</t>
  </si>
  <si>
    <t>This spreadsheet, including all worksheets and associated content is a copyrighted work under the United States and other copyright laws.</t>
  </si>
  <si>
    <t>Do not submit copies or modifications of this template to any website or online template gallery.</t>
  </si>
  <si>
    <r>
      <t xml:space="preserve">You may make archival copies and customize the template only for your personal use or use within your company or organization and </t>
    </r>
    <r>
      <rPr>
        <b/>
        <sz val="12"/>
        <color theme="1"/>
        <rFont val="Arial"/>
        <family val="2"/>
      </rPr>
      <t>not for resale or public sharing</t>
    </r>
    <r>
      <rPr>
        <sz val="12"/>
        <color theme="1"/>
        <rFont val="Arial"/>
        <family val="2"/>
      </rPr>
      <t>.</t>
    </r>
  </si>
  <si>
    <t>Limitation of Liability</t>
  </si>
  <si>
    <t>This template and any related documentation are provided to you "as is." While every effort has been made to provide an outstanding product, without limiting the above you accept that this template may not meet your requirements, operate error free, or identify any or all errors or problems. This agreement does not affect any statutory rights you may have as a consumer.</t>
  </si>
  <si>
    <t>Compounding Analysis Template</t>
  </si>
  <si>
    <t>Do not delete this worksheet.</t>
  </si>
  <si>
    <t>©  2024  David McLachlan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</si>
</sst>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5" formatCode="&quot;$&quot;#,##0;\-&quot;$&quot;#,##0"/>
    <numFmt numFmtId="44" formatCode="_-&quot;$&quot;* #,##0.00_-;\-&quot;$&quot;* #,##0.00_-;_-&quot;$&quot;* &quot;-&quot;??_-;_-@_-"/>
  </numFmts>
  <fonts count="14" x14ac:knownFonts="1">
    <font>
      <sz val="11"/>
      <color theme="1"/>
      <name val="Calibri"/>
      <family val="2"/>
      <scheme val="minor"/>
    </font>
    <font>
      <sz val="11"/>
      <color theme="1"/>
      <name val="Calibri"/>
      <family val="2"/>
      <scheme val="minor"/>
    </font>
    <font>
      <sz val="16"/>
      <color theme="1"/>
      <name val="Calibri"/>
      <family val="2"/>
      <scheme val="minor"/>
    </font>
    <font>
      <sz val="11"/>
      <color theme="0"/>
      <name val="Calibri"/>
      <family val="2"/>
      <scheme val="minor"/>
    </font>
    <font>
      <sz val="16"/>
      <color theme="0"/>
      <name val="Calibri"/>
      <family val="2"/>
      <scheme val="minor"/>
    </font>
    <font>
      <sz val="11"/>
      <color theme="0" tint="-0.499984740745262"/>
      <name val="Calibri"/>
      <family val="2"/>
      <scheme val="minor"/>
    </font>
    <font>
      <sz val="10"/>
      <color theme="1" tint="0.34998626667073579"/>
      <name val="Calibri"/>
      <family val="2"/>
      <scheme val="minor"/>
    </font>
    <font>
      <sz val="16"/>
      <color theme="1" tint="0.249977111117893"/>
      <name val="Calibri"/>
      <family val="2"/>
      <scheme val="minor"/>
    </font>
    <font>
      <b/>
      <sz val="11"/>
      <color theme="0"/>
      <name val="Arial"/>
      <family val="2"/>
    </font>
    <font>
      <b/>
      <sz val="16"/>
      <color theme="0"/>
      <name val="Arial"/>
      <family val="2"/>
    </font>
    <font>
      <sz val="12"/>
      <color theme="1"/>
      <name val="Arial"/>
      <family val="2"/>
    </font>
    <font>
      <sz val="11"/>
      <color theme="1"/>
      <name val="Arial"/>
      <family val="2"/>
    </font>
    <font>
      <b/>
      <sz val="12"/>
      <color theme="1"/>
      <name val="Arial"/>
      <family val="2"/>
    </font>
    <font>
      <i/>
      <sz val="14"/>
      <color theme="1"/>
      <name val="Arial"/>
      <family val="2"/>
    </font>
  </fonts>
  <fills count="7">
    <fill>
      <patternFill patternType="none"/>
    </fill>
    <fill>
      <patternFill patternType="gray125"/>
    </fill>
    <fill>
      <patternFill patternType="solid">
        <fgColor theme="0"/>
        <bgColor indexed="64"/>
      </patternFill>
    </fill>
    <fill>
      <patternFill patternType="solid">
        <fgColor theme="3"/>
        <bgColor indexed="64"/>
      </patternFill>
    </fill>
    <fill>
      <patternFill patternType="solid">
        <fgColor theme="0" tint="-4.9989318521683403E-2"/>
        <bgColor indexed="64"/>
      </patternFill>
    </fill>
    <fill>
      <patternFill patternType="solid">
        <fgColor rgb="FFFDDBB1"/>
        <bgColor indexed="64"/>
      </patternFill>
    </fill>
    <fill>
      <patternFill patternType="solid">
        <fgColor rgb="FFEEF1F8"/>
        <bgColor indexed="64"/>
      </patternFill>
    </fill>
  </fills>
  <borders count="18">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right/>
      <top style="medium">
        <color indexed="64"/>
      </top>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medium">
        <color theme="3"/>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44">
    <xf numFmtId="0" fontId="0" fillId="0" borderId="0" xfId="0"/>
    <xf numFmtId="0" fontId="5" fillId="0" borderId="0" xfId="0" applyFont="1"/>
    <xf numFmtId="0" fontId="2" fillId="2" borderId="4" xfId="0" applyFont="1" applyFill="1" applyBorder="1"/>
    <xf numFmtId="0" fontId="2" fillId="2" borderId="6" xfId="0" applyFont="1" applyFill="1" applyBorder="1"/>
    <xf numFmtId="0" fontId="2" fillId="2" borderId="8" xfId="0" applyFont="1" applyFill="1" applyBorder="1"/>
    <xf numFmtId="0" fontId="2" fillId="2" borderId="12" xfId="0" applyFont="1" applyFill="1" applyBorder="1"/>
    <xf numFmtId="0" fontId="2" fillId="2" borderId="9" xfId="0" applyFont="1" applyFill="1" applyBorder="1"/>
    <xf numFmtId="0" fontId="2" fillId="2" borderId="5" xfId="0" applyFont="1" applyFill="1" applyBorder="1"/>
    <xf numFmtId="0" fontId="2" fillId="2" borderId="7" xfId="0" applyFont="1" applyFill="1" applyBorder="1"/>
    <xf numFmtId="0" fontId="2" fillId="2" borderId="11" xfId="0" applyFont="1" applyFill="1" applyBorder="1"/>
    <xf numFmtId="0" fontId="4" fillId="3" borderId="1" xfId="0" applyFont="1" applyFill="1" applyBorder="1" applyAlignment="1">
      <alignment horizontal="right"/>
    </xf>
    <xf numFmtId="0" fontId="4" fillId="3" borderId="1" xfId="0" applyFont="1" applyFill="1" applyBorder="1" applyAlignment="1">
      <alignment horizontal="right" vertical="center"/>
    </xf>
    <xf numFmtId="0" fontId="3" fillId="3" borderId="1" xfId="0" applyFont="1" applyFill="1" applyBorder="1" applyAlignment="1">
      <alignment horizontal="right" vertical="center"/>
    </xf>
    <xf numFmtId="0" fontId="3" fillId="3" borderId="13" xfId="0" applyFont="1" applyFill="1" applyBorder="1" applyAlignment="1">
      <alignment horizontal="right" vertical="center"/>
    </xf>
    <xf numFmtId="0" fontId="4" fillId="3" borderId="2" xfId="0" applyFont="1" applyFill="1" applyBorder="1"/>
    <xf numFmtId="0" fontId="4" fillId="3" borderId="10" xfId="0" applyFont="1" applyFill="1" applyBorder="1" applyAlignment="1">
      <alignment horizontal="center"/>
    </xf>
    <xf numFmtId="0" fontId="4" fillId="3" borderId="3" xfId="0" applyFont="1" applyFill="1" applyBorder="1"/>
    <xf numFmtId="0" fontId="6" fillId="0" borderId="0" xfId="0" applyFont="1" applyAlignment="1">
      <alignment horizontal="left" indent="1"/>
    </xf>
    <xf numFmtId="0" fontId="0" fillId="4" borderId="0" xfId="0" applyFill="1"/>
    <xf numFmtId="0" fontId="0" fillId="5" borderId="0" xfId="0" applyFill="1"/>
    <xf numFmtId="0" fontId="2" fillId="5" borderId="0" xfId="0" applyFont="1" applyFill="1"/>
    <xf numFmtId="5" fontId="7" fillId="0" borderId="0" xfId="1" applyNumberFormat="1" applyFont="1" applyFill="1" applyBorder="1" applyAlignment="1">
      <alignment horizontal="center"/>
    </xf>
    <xf numFmtId="5" fontId="7" fillId="0" borderId="0" xfId="0" applyNumberFormat="1" applyFont="1" applyAlignment="1">
      <alignment horizontal="center"/>
    </xf>
    <xf numFmtId="5" fontId="0" fillId="5" borderId="0" xfId="0" applyNumberFormat="1" applyFill="1"/>
    <xf numFmtId="0" fontId="0" fillId="6" borderId="14" xfId="0" applyFill="1" applyBorder="1" applyAlignment="1">
      <alignment horizontal="center" vertical="center"/>
    </xf>
    <xf numFmtId="0" fontId="0" fillId="6" borderId="15" xfId="0" applyFill="1" applyBorder="1" applyAlignment="1">
      <alignment horizontal="center" vertical="center"/>
    </xf>
    <xf numFmtId="0" fontId="0" fillId="6" borderId="16" xfId="0" applyFill="1" applyBorder="1" applyAlignment="1">
      <alignment horizontal="center" vertical="center"/>
    </xf>
    <xf numFmtId="5" fontId="0" fillId="6" borderId="14" xfId="1" applyNumberFormat="1" applyFont="1" applyFill="1" applyBorder="1" applyAlignment="1">
      <alignment horizontal="center"/>
    </xf>
    <xf numFmtId="5" fontId="0" fillId="6" borderId="15" xfId="1" applyNumberFormat="1" applyFont="1" applyFill="1" applyBorder="1" applyAlignment="1">
      <alignment horizontal="center"/>
    </xf>
    <xf numFmtId="5" fontId="0" fillId="6" borderId="16" xfId="1" applyNumberFormat="1" applyFont="1" applyFill="1" applyBorder="1" applyAlignment="1">
      <alignment horizontal="center"/>
    </xf>
    <xf numFmtId="0" fontId="8" fillId="3" borderId="0" xfId="0" applyFont="1" applyFill="1"/>
    <xf numFmtId="0" fontId="9" fillId="3" borderId="0" xfId="0" applyFont="1" applyFill="1" applyAlignment="1">
      <alignment vertical="center"/>
    </xf>
    <xf numFmtId="0" fontId="10" fillId="2" borderId="0" xfId="0" applyFont="1" applyFill="1" applyAlignment="1">
      <alignment vertical="center"/>
    </xf>
    <xf numFmtId="0" fontId="11" fillId="2" borderId="0" xfId="0" applyFont="1" applyFill="1" applyAlignment="1">
      <alignment vertical="center"/>
    </xf>
    <xf numFmtId="0" fontId="10" fillId="2" borderId="0" xfId="0" applyFont="1" applyFill="1" applyAlignment="1">
      <alignment vertical="center" wrapText="1"/>
    </xf>
    <xf numFmtId="0" fontId="13" fillId="2" borderId="17" xfId="0" applyFont="1" applyFill="1" applyBorder="1" applyAlignment="1">
      <alignment vertical="center"/>
    </xf>
    <xf numFmtId="5" fontId="2" fillId="2" borderId="2" xfId="1" applyNumberFormat="1" applyFont="1" applyFill="1" applyBorder="1" applyAlignment="1">
      <alignment horizontal="center" vertical="center"/>
    </xf>
    <xf numFmtId="5" fontId="2" fillId="2" borderId="3" xfId="1" applyNumberFormat="1" applyFont="1" applyFill="1" applyBorder="1" applyAlignment="1">
      <alignment horizontal="center" vertical="center"/>
    </xf>
    <xf numFmtId="5" fontId="2" fillId="2" borderId="2" xfId="1" applyNumberFormat="1" applyFont="1" applyFill="1" applyBorder="1" applyAlignment="1">
      <alignment horizontal="center"/>
    </xf>
    <xf numFmtId="5" fontId="2" fillId="2" borderId="3" xfId="1" applyNumberFormat="1" applyFont="1" applyFill="1" applyBorder="1" applyAlignment="1">
      <alignment horizontal="center"/>
    </xf>
    <xf numFmtId="9" fontId="2" fillId="2" borderId="2" xfId="2" applyFont="1" applyFill="1" applyBorder="1" applyAlignment="1">
      <alignment horizontal="center" vertical="center"/>
    </xf>
    <xf numFmtId="9" fontId="2" fillId="2" borderId="3" xfId="2"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cellXfs>
  <cellStyles count="3">
    <cellStyle name="Currency" xfId="1" builtinId="4"/>
    <cellStyle name="Normal" xfId="0" builtinId="0"/>
    <cellStyle name="Percent" xfId="2" builtinId="5"/>
  </cellStyles>
  <dxfs count="0"/>
  <tableStyles count="0" defaultTableStyle="TableStyleMedium2" defaultPivotStyle="PivotStyleLight16"/>
  <colors>
    <mruColors>
      <color rgb="FFEEF1F8"/>
      <color rgb="FFFDDBB1"/>
      <color rgb="FFE5E8EF"/>
      <color rgb="FFF2F1ED"/>
      <color rgb="FFECEBB7"/>
      <color rgb="FF283949"/>
      <color rgb="FF9ABAB7"/>
      <color rgb="FF37747E"/>
      <color rgb="FFFAF8A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Compounding Chart  </a:t>
            </a:r>
          </a:p>
        </c:rich>
      </c:tx>
      <c:overlay val="0"/>
    </c:title>
    <c:autoTitleDeleted val="0"/>
    <c:plotArea>
      <c:layout/>
      <c:lineChart>
        <c:grouping val="standard"/>
        <c:varyColors val="0"/>
        <c:ser>
          <c:idx val="0"/>
          <c:order val="0"/>
          <c:tx>
            <c:v>Amount</c:v>
          </c:tx>
          <c:spPr>
            <a:ln>
              <a:solidFill>
                <a:schemeClr val="accent6"/>
              </a:solidFill>
            </a:ln>
          </c:spPr>
          <c:marker>
            <c:symbol val="circle"/>
            <c:size val="5"/>
            <c:spPr>
              <a:solidFill>
                <a:schemeClr val="accent6"/>
              </a:solidFill>
              <a:ln>
                <a:solidFill>
                  <a:schemeClr val="accent6"/>
                </a:solidFill>
              </a:ln>
            </c:spPr>
          </c:marker>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[0]!MyRange</c:f>
              <c:numCache>
                <c:formatCode>"$"#,##0_);\("$"#,##0\)</c:formatCode>
                <c:ptCount val="15"/>
                <c:pt idx="0">
                  <c:v>0</c:v>
                </c:pt>
                <c:pt idx="1">
                  <c:v>54000</c:v>
                </c:pt>
                <c:pt idx="2">
                  <c:v>112320.00000000001</c:v>
                </c:pt>
                <c:pt idx="3">
                  <c:v>175305.60000000001</c:v>
                </c:pt>
                <c:pt idx="4">
                  <c:v>243330.04800000001</c:v>
                </c:pt>
                <c:pt idx="5">
                  <c:v>316796.45184000005</c:v>
                </c:pt>
                <c:pt idx="6">
                  <c:v>396140.16798720008</c:v>
                </c:pt>
                <c:pt idx="7">
                  <c:v>481831.38142617611</c:v>
                </c:pt>
                <c:pt idx="8">
                  <c:v>574377.8919402702</c:v>
                </c:pt>
                <c:pt idx="9">
                  <c:v>674328.12329549191</c:v>
                </c:pt>
                <c:pt idx="10">
                  <c:v>782274.37315913127</c:v>
                </c:pt>
                <c:pt idx="11">
                  <c:v>898856.32301186188</c:v>
                </c:pt>
                <c:pt idx="12">
                  <c:v>1024764.8288528109</c:v>
                </c:pt>
                <c:pt idx="13">
                  <c:v>1160746.0151610358</c:v>
                </c:pt>
                <c:pt idx="14">
                  <c:v>1307605.6963739188</c:v>
                </c:pt>
              </c:numCache>
            </c:numRef>
          </c:val>
          <c:smooth val="0"/>
          <c:extLst>
            <c:ext xmlns:c16="http://schemas.microsoft.com/office/drawing/2014/chart" uri="{C3380CC4-5D6E-409C-BE32-E72D297353CC}">
              <c16:uniqueId val="{00000000-F3DB-416F-A2F1-48717FEFF4F4}"/>
            </c:ext>
          </c:extLst>
        </c:ser>
        <c:dLbls>
          <c:showLegendKey val="0"/>
          <c:showVal val="0"/>
          <c:showCatName val="0"/>
          <c:showSerName val="0"/>
          <c:showPercent val="0"/>
          <c:showBubbleSize val="0"/>
        </c:dLbls>
        <c:marker val="1"/>
        <c:smooth val="0"/>
        <c:axId val="138883456"/>
        <c:axId val="138884240"/>
      </c:lineChart>
      <c:catAx>
        <c:axId val="138883456"/>
        <c:scaling>
          <c:orientation val="minMax"/>
        </c:scaling>
        <c:delete val="0"/>
        <c:axPos val="b"/>
        <c:majorTickMark val="out"/>
        <c:minorTickMark val="none"/>
        <c:tickLblPos val="nextTo"/>
        <c:crossAx val="138884240"/>
        <c:crosses val="autoZero"/>
        <c:auto val="1"/>
        <c:lblAlgn val="ctr"/>
        <c:lblOffset val="100"/>
        <c:noMultiLvlLbl val="0"/>
      </c:catAx>
      <c:valAx>
        <c:axId val="138884240"/>
        <c:scaling>
          <c:orientation val="minMax"/>
        </c:scaling>
        <c:delete val="0"/>
        <c:axPos val="l"/>
        <c:majorGridlines/>
        <c:numFmt formatCode="&quot;$&quot;#,##0_);\(&quot;$&quot;#,##0\)" sourceLinked="1"/>
        <c:majorTickMark val="out"/>
        <c:minorTickMark val="none"/>
        <c:tickLblPos val="nextTo"/>
        <c:crossAx val="138883456"/>
        <c:crosses val="autoZero"/>
        <c:crossBetween val="between"/>
      </c:valAx>
    </c:plotArea>
    <c:legend>
      <c:legendPos val="r"/>
      <c:overlay val="0"/>
    </c:legend>
    <c:plotVisOnly val="1"/>
    <c:dispBlanksAs val="gap"/>
    <c:showDLblsOverMax val="0"/>
  </c:chart>
  <c:spPr>
    <a:ln w="12700">
      <a:solidFill>
        <a:schemeClr val="tx2"/>
      </a:solid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1</xdr:col>
      <xdr:colOff>936171</xdr:colOff>
      <xdr:row>10</xdr:row>
      <xdr:rowOff>10886</xdr:rowOff>
    </xdr:from>
    <xdr:to>
      <xdr:col>10</xdr:col>
      <xdr:colOff>43543</xdr:colOff>
      <xdr:row>30</xdr:row>
      <xdr:rowOff>152400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32"/>
  <sheetViews>
    <sheetView showGridLines="0" tabSelected="1" zoomScale="85" zoomScaleNormal="85" workbookViewId="0">
      <selection activeCell="A33" sqref="A33"/>
    </sheetView>
  </sheetViews>
  <sheetFormatPr defaultRowHeight="14.4" x14ac:dyDescent="0.3"/>
  <cols>
    <col min="1" max="1" width="3.5546875" customWidth="1"/>
    <col min="2" max="2" width="36.109375" bestFit="1" customWidth="1"/>
    <col min="3" max="3" width="11.88671875" customWidth="1"/>
    <col min="4" max="4" width="9.21875" customWidth="1"/>
    <col min="5" max="5" width="9.33203125" bestFit="1" customWidth="1"/>
    <col min="6" max="6" width="9.88671875" customWidth="1"/>
    <col min="7" max="7" width="18" bestFit="1" customWidth="1"/>
    <col min="8" max="8" width="10.6640625" customWidth="1"/>
    <col min="9" max="9" width="10.5546875" customWidth="1"/>
    <col min="10" max="10" width="18.33203125" customWidth="1"/>
    <col min="11" max="11" width="12.6640625" customWidth="1"/>
    <col min="12" max="12" width="9.33203125" bestFit="1" customWidth="1"/>
    <col min="13" max="13" width="10.21875" customWidth="1"/>
    <col min="14" max="14" width="9.88671875" bestFit="1" customWidth="1"/>
    <col min="15" max="15" width="11" bestFit="1" customWidth="1"/>
    <col min="16" max="17" width="10.33203125" bestFit="1" customWidth="1"/>
    <col min="18" max="30" width="10.109375" bestFit="1" customWidth="1"/>
    <col min="31" max="42" width="11.109375" bestFit="1" customWidth="1"/>
    <col min="43" max="52" width="12.109375" bestFit="1" customWidth="1"/>
  </cols>
  <sheetData>
    <row r="1" spans="1:52" ht="15" thickBot="1" x14ac:dyDescent="0.35">
      <c r="A1" s="19"/>
      <c r="B1" s="19"/>
      <c r="C1" s="19"/>
      <c r="D1" s="19"/>
      <c r="E1" s="19"/>
      <c r="F1" s="19"/>
      <c r="G1" s="19"/>
      <c r="H1" s="19"/>
      <c r="I1" s="19"/>
      <c r="J1" s="19"/>
      <c r="K1" s="19"/>
      <c r="L1" s="19"/>
    </row>
    <row r="2" spans="1:52" ht="21.6" thickBot="1" x14ac:dyDescent="0.45">
      <c r="A2" s="19"/>
      <c r="B2" s="10" t="s">
        <v>4</v>
      </c>
      <c r="C2" s="38">
        <v>0</v>
      </c>
      <c r="D2" s="39"/>
      <c r="E2" s="20"/>
      <c r="F2" s="14"/>
      <c r="G2" s="15" t="s">
        <v>5</v>
      </c>
      <c r="H2" s="16"/>
      <c r="I2" s="14"/>
      <c r="J2" s="15" t="s">
        <v>7</v>
      </c>
      <c r="K2" s="16"/>
      <c r="L2" s="19"/>
      <c r="M2" s="17" t="s">
        <v>8</v>
      </c>
    </row>
    <row r="3" spans="1:52" ht="21.6" thickBot="1" x14ac:dyDescent="0.45">
      <c r="A3" s="19"/>
      <c r="B3" s="11" t="s">
        <v>0</v>
      </c>
      <c r="C3" s="40">
        <v>0.08</v>
      </c>
      <c r="D3" s="41"/>
      <c r="E3" s="20"/>
      <c r="F3" s="2"/>
      <c r="G3" s="9"/>
      <c r="H3" s="7"/>
      <c r="I3" s="2"/>
      <c r="J3" s="9"/>
      <c r="K3" s="7"/>
      <c r="L3" s="19"/>
      <c r="M3" s="17" t="s">
        <v>9</v>
      </c>
    </row>
    <row r="4" spans="1:52" ht="21.6" thickBot="1" x14ac:dyDescent="0.45">
      <c r="A4" s="19"/>
      <c r="B4" s="11" t="s">
        <v>1</v>
      </c>
      <c r="C4" s="42">
        <v>15</v>
      </c>
      <c r="D4" s="43"/>
      <c r="E4" s="20"/>
      <c r="F4" s="3"/>
      <c r="G4" s="21">
        <f>INDEX(C8:AZ8,MATCH(C4,C7:AZ7,0))</f>
        <v>1307605.6963739188</v>
      </c>
      <c r="H4" s="8"/>
      <c r="I4" s="3"/>
      <c r="J4" s="22">
        <f>C4*C5</f>
        <v>750000</v>
      </c>
      <c r="K4" s="8"/>
      <c r="L4" s="19"/>
      <c r="M4" s="17" t="s">
        <v>10</v>
      </c>
    </row>
    <row r="5" spans="1:52" ht="21.6" thickBot="1" x14ac:dyDescent="0.45">
      <c r="A5" s="19"/>
      <c r="B5" s="11" t="s">
        <v>3</v>
      </c>
      <c r="C5" s="36">
        <v>50000</v>
      </c>
      <c r="D5" s="37"/>
      <c r="E5" s="20"/>
      <c r="F5" s="4"/>
      <c r="G5" s="5"/>
      <c r="H5" s="6"/>
      <c r="I5" s="4"/>
      <c r="J5" s="5"/>
      <c r="K5" s="6"/>
      <c r="L5" s="19"/>
      <c r="M5" s="1"/>
    </row>
    <row r="6" spans="1:52" ht="15" thickBot="1" x14ac:dyDescent="0.35">
      <c r="A6" s="19"/>
      <c r="B6" s="19"/>
      <c r="C6" s="19"/>
      <c r="D6" s="19"/>
      <c r="E6" s="19"/>
      <c r="F6" s="19"/>
      <c r="G6" s="19"/>
      <c r="H6" s="19"/>
      <c r="I6" s="19"/>
      <c r="J6" s="19"/>
      <c r="K6" s="19"/>
      <c r="L6" s="19"/>
    </row>
    <row r="7" spans="1:52" ht="15" thickBot="1" x14ac:dyDescent="0.35">
      <c r="A7" s="19"/>
      <c r="B7" s="12" t="s">
        <v>2</v>
      </c>
      <c r="C7" s="24">
        <v>1</v>
      </c>
      <c r="D7" s="25">
        <v>2</v>
      </c>
      <c r="E7" s="25">
        <v>3</v>
      </c>
      <c r="F7" s="25">
        <v>4</v>
      </c>
      <c r="G7" s="25">
        <v>5</v>
      </c>
      <c r="H7" s="25">
        <v>6</v>
      </c>
      <c r="I7" s="25">
        <v>7</v>
      </c>
      <c r="J7" s="25">
        <v>8</v>
      </c>
      <c r="K7" s="25">
        <v>9</v>
      </c>
      <c r="L7" s="25">
        <v>10</v>
      </c>
      <c r="M7" s="25">
        <v>11</v>
      </c>
      <c r="N7" s="25">
        <v>12</v>
      </c>
      <c r="O7" s="25">
        <v>13</v>
      </c>
      <c r="P7" s="25">
        <v>14</v>
      </c>
      <c r="Q7" s="25">
        <v>15</v>
      </c>
      <c r="R7" s="25">
        <v>16</v>
      </c>
      <c r="S7" s="25">
        <v>17</v>
      </c>
      <c r="T7" s="25">
        <v>18</v>
      </c>
      <c r="U7" s="25">
        <v>19</v>
      </c>
      <c r="V7" s="25">
        <v>20</v>
      </c>
      <c r="W7" s="25">
        <v>21</v>
      </c>
      <c r="X7" s="25">
        <v>22</v>
      </c>
      <c r="Y7" s="25">
        <v>23</v>
      </c>
      <c r="Z7" s="25">
        <v>24</v>
      </c>
      <c r="AA7" s="25">
        <v>25</v>
      </c>
      <c r="AB7" s="25">
        <v>26</v>
      </c>
      <c r="AC7" s="25">
        <v>27</v>
      </c>
      <c r="AD7" s="25">
        <v>28</v>
      </c>
      <c r="AE7" s="25">
        <v>29</v>
      </c>
      <c r="AF7" s="25">
        <v>30</v>
      </c>
      <c r="AG7" s="25">
        <v>31</v>
      </c>
      <c r="AH7" s="25">
        <v>32</v>
      </c>
      <c r="AI7" s="25">
        <v>33</v>
      </c>
      <c r="AJ7" s="25">
        <v>34</v>
      </c>
      <c r="AK7" s="25">
        <v>35</v>
      </c>
      <c r="AL7" s="25">
        <v>36</v>
      </c>
      <c r="AM7" s="25">
        <v>37</v>
      </c>
      <c r="AN7" s="25">
        <v>38</v>
      </c>
      <c r="AO7" s="25">
        <v>39</v>
      </c>
      <c r="AP7" s="25">
        <v>40</v>
      </c>
      <c r="AQ7" s="25">
        <v>41</v>
      </c>
      <c r="AR7" s="25">
        <v>42</v>
      </c>
      <c r="AS7" s="25">
        <v>43</v>
      </c>
      <c r="AT7" s="25">
        <v>44</v>
      </c>
      <c r="AU7" s="25">
        <v>45</v>
      </c>
      <c r="AV7" s="25">
        <v>46</v>
      </c>
      <c r="AW7" s="25">
        <v>47</v>
      </c>
      <c r="AX7" s="25">
        <v>48</v>
      </c>
      <c r="AY7" s="25">
        <v>49</v>
      </c>
      <c r="AZ7" s="26">
        <v>50</v>
      </c>
    </row>
    <row r="8" spans="1:52" ht="15" thickBot="1" x14ac:dyDescent="0.35">
      <c r="A8" s="19"/>
      <c r="B8" s="13" t="s">
        <v>6</v>
      </c>
      <c r="C8" s="27">
        <f>C2*(1 + C3)</f>
        <v>0</v>
      </c>
      <c r="D8" s="28">
        <f>(C8+$C$5)*(1+$C$3)</f>
        <v>54000</v>
      </c>
      <c r="E8" s="28">
        <f>(D8+$C$5)*(1+$C$3)</f>
        <v>112320.00000000001</v>
      </c>
      <c r="F8" s="28">
        <f t="shared" ref="F8:AZ8" si="0">(E8+$C$5)*(1+$C$3)</f>
        <v>175305.60000000001</v>
      </c>
      <c r="G8" s="28">
        <f t="shared" si="0"/>
        <v>243330.04800000001</v>
      </c>
      <c r="H8" s="28">
        <f t="shared" si="0"/>
        <v>316796.45184000005</v>
      </c>
      <c r="I8" s="28">
        <f t="shared" si="0"/>
        <v>396140.16798720008</v>
      </c>
      <c r="J8" s="28">
        <f t="shared" si="0"/>
        <v>481831.38142617611</v>
      </c>
      <c r="K8" s="28">
        <f t="shared" si="0"/>
        <v>574377.8919402702</v>
      </c>
      <c r="L8" s="28">
        <f t="shared" si="0"/>
        <v>674328.12329549191</v>
      </c>
      <c r="M8" s="28">
        <f t="shared" si="0"/>
        <v>782274.37315913127</v>
      </c>
      <c r="N8" s="28">
        <f t="shared" si="0"/>
        <v>898856.32301186188</v>
      </c>
      <c r="O8" s="28">
        <f t="shared" si="0"/>
        <v>1024764.8288528109</v>
      </c>
      <c r="P8" s="28">
        <f t="shared" si="0"/>
        <v>1160746.0151610358</v>
      </c>
      <c r="Q8" s="28">
        <f t="shared" si="0"/>
        <v>1307605.6963739188</v>
      </c>
      <c r="R8" s="28">
        <f t="shared" si="0"/>
        <v>1466214.1520838323</v>
      </c>
      <c r="S8" s="28">
        <f t="shared" si="0"/>
        <v>1637511.284250539</v>
      </c>
      <c r="T8" s="28">
        <f t="shared" si="0"/>
        <v>1822512.1869905824</v>
      </c>
      <c r="U8" s="28">
        <f t="shared" si="0"/>
        <v>2022313.1619498292</v>
      </c>
      <c r="V8" s="28">
        <f t="shared" si="0"/>
        <v>2238098.2149058157</v>
      </c>
      <c r="W8" s="28">
        <f t="shared" si="0"/>
        <v>2471146.0720982812</v>
      </c>
      <c r="X8" s="28">
        <f t="shared" si="0"/>
        <v>2722837.7578661437</v>
      </c>
      <c r="Y8" s="28">
        <f t="shared" si="0"/>
        <v>2994664.7784954356</v>
      </c>
      <c r="Z8" s="28">
        <f t="shared" si="0"/>
        <v>3288237.9607750708</v>
      </c>
      <c r="AA8" s="28">
        <f t="shared" si="0"/>
        <v>3605296.9976370768</v>
      </c>
      <c r="AB8" s="28">
        <f t="shared" si="0"/>
        <v>3947720.7574480432</v>
      </c>
      <c r="AC8" s="28">
        <f t="shared" si="0"/>
        <v>4317538.4180438872</v>
      </c>
      <c r="AD8" s="28">
        <f t="shared" si="0"/>
        <v>4716941.4914873987</v>
      </c>
      <c r="AE8" s="28">
        <f t="shared" si="0"/>
        <v>5148296.8108063908</v>
      </c>
      <c r="AF8" s="28">
        <f t="shared" si="0"/>
        <v>5614160.5556709021</v>
      </c>
      <c r="AG8" s="28">
        <f t="shared" si="0"/>
        <v>6117293.400124575</v>
      </c>
      <c r="AH8" s="28">
        <f t="shared" si="0"/>
        <v>6660676.8721345412</v>
      </c>
      <c r="AI8" s="28">
        <f t="shared" si="0"/>
        <v>7247531.0219053049</v>
      </c>
      <c r="AJ8" s="28">
        <f t="shared" si="0"/>
        <v>7881333.5036577294</v>
      </c>
      <c r="AK8" s="28">
        <f t="shared" si="0"/>
        <v>8565840.1839503478</v>
      </c>
      <c r="AL8" s="28">
        <f t="shared" si="0"/>
        <v>9305107.3986663762</v>
      </c>
      <c r="AM8" s="28">
        <f t="shared" si="0"/>
        <v>10103515.990559688</v>
      </c>
      <c r="AN8" s="28">
        <f t="shared" si="0"/>
        <v>10965797.269804463</v>
      </c>
      <c r="AO8" s="28">
        <f t="shared" si="0"/>
        <v>11897061.051388821</v>
      </c>
      <c r="AP8" s="28">
        <f t="shared" si="0"/>
        <v>12902825.935499927</v>
      </c>
      <c r="AQ8" s="28">
        <f t="shared" si="0"/>
        <v>13989052.010339921</v>
      </c>
      <c r="AR8" s="28">
        <f t="shared" si="0"/>
        <v>15162176.171167117</v>
      </c>
      <c r="AS8" s="28">
        <f t="shared" si="0"/>
        <v>16429150.264860487</v>
      </c>
      <c r="AT8" s="28">
        <f t="shared" si="0"/>
        <v>17797482.286049325</v>
      </c>
      <c r="AU8" s="28">
        <f t="shared" si="0"/>
        <v>19275280.868933272</v>
      </c>
      <c r="AV8" s="28">
        <f t="shared" si="0"/>
        <v>20871303.338447936</v>
      </c>
      <c r="AW8" s="28">
        <f t="shared" si="0"/>
        <v>22595007.605523773</v>
      </c>
      <c r="AX8" s="28">
        <f t="shared" si="0"/>
        <v>24456608.213965677</v>
      </c>
      <c r="AY8" s="28">
        <f t="shared" si="0"/>
        <v>26467136.871082932</v>
      </c>
      <c r="AZ8" s="29">
        <f t="shared" si="0"/>
        <v>28638507.820769567</v>
      </c>
    </row>
    <row r="9" spans="1:52" x14ac:dyDescent="0.3">
      <c r="A9" s="19"/>
      <c r="B9" s="19"/>
      <c r="C9" s="23"/>
      <c r="D9" s="19"/>
      <c r="E9" s="19"/>
      <c r="F9" s="19"/>
      <c r="G9" s="19"/>
      <c r="H9" s="19"/>
      <c r="I9" s="19"/>
      <c r="J9" s="19"/>
      <c r="K9" s="19"/>
      <c r="L9" s="19"/>
    </row>
    <row r="10" spans="1:52" x14ac:dyDescent="0.3">
      <c r="A10" s="18"/>
      <c r="B10" s="18"/>
      <c r="C10" s="18"/>
      <c r="D10" s="18"/>
      <c r="E10" s="18"/>
      <c r="F10" s="18"/>
      <c r="G10" s="18"/>
      <c r="H10" s="18"/>
      <c r="I10" s="18"/>
      <c r="J10" s="18"/>
      <c r="K10" s="18"/>
      <c r="L10" s="18"/>
    </row>
    <row r="11" spans="1:52" x14ac:dyDescent="0.3">
      <c r="A11" s="18"/>
      <c r="B11" s="18"/>
      <c r="C11" s="18"/>
      <c r="D11" s="18"/>
      <c r="E11" s="18"/>
      <c r="F11" s="18"/>
      <c r="G11" s="18"/>
      <c r="H11" s="18"/>
      <c r="I11" s="18"/>
      <c r="J11" s="18"/>
      <c r="K11" s="18"/>
      <c r="L11" s="18"/>
    </row>
    <row r="12" spans="1:52" x14ac:dyDescent="0.3">
      <c r="A12" s="18"/>
      <c r="B12" s="18"/>
      <c r="C12" s="18"/>
      <c r="D12" s="18"/>
      <c r="E12" s="18"/>
      <c r="F12" s="18"/>
      <c r="G12" s="18"/>
      <c r="H12" s="18"/>
      <c r="I12" s="18"/>
      <c r="J12" s="18"/>
      <c r="K12" s="18"/>
      <c r="L12" s="18"/>
    </row>
    <row r="13" spans="1:52" x14ac:dyDescent="0.3">
      <c r="A13" s="18"/>
      <c r="B13" s="18"/>
      <c r="C13" s="18"/>
      <c r="D13" s="18"/>
      <c r="E13" s="18"/>
      <c r="F13" s="18"/>
      <c r="G13" s="18"/>
      <c r="H13" s="18"/>
      <c r="I13" s="18"/>
      <c r="J13" s="18"/>
      <c r="K13" s="18"/>
      <c r="L13" s="18"/>
    </row>
    <row r="14" spans="1:52" x14ac:dyDescent="0.3">
      <c r="A14" s="18"/>
      <c r="B14" s="18"/>
      <c r="C14" s="18"/>
      <c r="D14" s="18"/>
      <c r="E14" s="18"/>
      <c r="F14" s="18"/>
      <c r="G14" s="18"/>
      <c r="H14" s="18"/>
      <c r="I14" s="18"/>
      <c r="J14" s="18"/>
      <c r="K14" s="18"/>
      <c r="L14" s="18"/>
    </row>
    <row r="15" spans="1:52" x14ac:dyDescent="0.3">
      <c r="A15" s="18"/>
      <c r="B15" s="18"/>
      <c r="C15" s="18"/>
      <c r="D15" s="18"/>
      <c r="E15" s="18"/>
      <c r="F15" s="18"/>
      <c r="G15" s="18"/>
      <c r="H15" s="18"/>
      <c r="I15" s="18"/>
      <c r="J15" s="18"/>
      <c r="K15" s="18"/>
      <c r="L15" s="18"/>
    </row>
    <row r="16" spans="1:52" x14ac:dyDescent="0.3">
      <c r="A16" s="18"/>
      <c r="B16" s="18"/>
      <c r="C16" s="18"/>
      <c r="D16" s="18"/>
      <c r="E16" s="18"/>
      <c r="F16" s="18"/>
      <c r="G16" s="18"/>
      <c r="H16" s="18"/>
      <c r="I16" s="18"/>
      <c r="J16" s="18"/>
      <c r="K16" s="18"/>
      <c r="L16" s="18"/>
    </row>
    <row r="17" spans="1:12" x14ac:dyDescent="0.3">
      <c r="A17" s="18"/>
      <c r="B17" s="18"/>
      <c r="C17" s="18"/>
      <c r="D17" s="18"/>
      <c r="E17" s="18"/>
      <c r="F17" s="18"/>
      <c r="G17" s="18"/>
      <c r="H17" s="18"/>
      <c r="I17" s="18"/>
      <c r="J17" s="18"/>
      <c r="K17" s="18"/>
      <c r="L17" s="18"/>
    </row>
    <row r="18" spans="1:12" x14ac:dyDescent="0.3">
      <c r="A18" s="18"/>
      <c r="B18" s="18"/>
      <c r="C18" s="18"/>
      <c r="D18" s="18"/>
      <c r="E18" s="18"/>
      <c r="F18" s="18"/>
      <c r="G18" s="18"/>
      <c r="H18" s="18"/>
      <c r="I18" s="18"/>
      <c r="J18" s="18"/>
      <c r="K18" s="18"/>
      <c r="L18" s="18"/>
    </row>
    <row r="19" spans="1:12" x14ac:dyDescent="0.3">
      <c r="A19" s="18"/>
      <c r="B19" s="18"/>
      <c r="C19" s="18"/>
      <c r="D19" s="18"/>
      <c r="E19" s="18"/>
      <c r="F19" s="18"/>
      <c r="G19" s="18"/>
      <c r="H19" s="18"/>
      <c r="I19" s="18"/>
      <c r="J19" s="18"/>
      <c r="K19" s="18"/>
      <c r="L19" s="18"/>
    </row>
    <row r="20" spans="1:12" x14ac:dyDescent="0.3">
      <c r="A20" s="18"/>
      <c r="B20" s="18"/>
      <c r="C20" s="18"/>
      <c r="D20" s="18"/>
      <c r="E20" s="18"/>
      <c r="F20" s="18"/>
      <c r="G20" s="18"/>
      <c r="H20" s="18"/>
      <c r="I20" s="18"/>
      <c r="J20" s="18"/>
      <c r="K20" s="18"/>
      <c r="L20" s="18"/>
    </row>
    <row r="21" spans="1:12" x14ac:dyDescent="0.3">
      <c r="A21" s="18"/>
      <c r="B21" s="18"/>
      <c r="C21" s="18"/>
      <c r="D21" s="18"/>
      <c r="E21" s="18"/>
      <c r="F21" s="18"/>
      <c r="G21" s="18"/>
      <c r="H21" s="18"/>
      <c r="I21" s="18"/>
      <c r="J21" s="18"/>
      <c r="K21" s="18"/>
      <c r="L21" s="18"/>
    </row>
    <row r="22" spans="1:12" x14ac:dyDescent="0.3">
      <c r="A22" s="18"/>
      <c r="B22" s="18"/>
      <c r="C22" s="18"/>
      <c r="D22" s="18"/>
      <c r="E22" s="18"/>
      <c r="F22" s="18"/>
      <c r="G22" s="18"/>
      <c r="H22" s="18"/>
      <c r="I22" s="18"/>
      <c r="J22" s="18"/>
      <c r="K22" s="18"/>
      <c r="L22" s="18"/>
    </row>
    <row r="23" spans="1:12" x14ac:dyDescent="0.3">
      <c r="A23" s="18"/>
      <c r="B23" s="18"/>
      <c r="C23" s="18"/>
      <c r="D23" s="18"/>
      <c r="E23" s="18"/>
      <c r="F23" s="18"/>
      <c r="G23" s="18"/>
      <c r="H23" s="18"/>
      <c r="I23" s="18"/>
      <c r="J23" s="18"/>
      <c r="K23" s="18"/>
      <c r="L23" s="18"/>
    </row>
    <row r="24" spans="1:12" x14ac:dyDescent="0.3">
      <c r="A24" s="18"/>
      <c r="B24" s="18"/>
      <c r="C24" s="18"/>
      <c r="D24" s="18"/>
      <c r="E24" s="18"/>
      <c r="F24" s="18"/>
      <c r="G24" s="18"/>
      <c r="H24" s="18"/>
      <c r="I24" s="18"/>
      <c r="J24" s="18"/>
      <c r="K24" s="18"/>
      <c r="L24" s="18"/>
    </row>
    <row r="25" spans="1:12" x14ac:dyDescent="0.3">
      <c r="A25" s="18"/>
      <c r="B25" s="18"/>
      <c r="C25" s="18"/>
      <c r="D25" s="18"/>
      <c r="E25" s="18"/>
      <c r="F25" s="18"/>
      <c r="G25" s="18"/>
      <c r="H25" s="18"/>
      <c r="I25" s="18"/>
      <c r="J25" s="18"/>
      <c r="K25" s="18"/>
      <c r="L25" s="18"/>
    </row>
    <row r="26" spans="1:12" x14ac:dyDescent="0.3">
      <c r="A26" s="18"/>
      <c r="B26" s="18"/>
      <c r="C26" s="18"/>
      <c r="D26" s="18"/>
      <c r="E26" s="18"/>
      <c r="F26" s="18"/>
      <c r="G26" s="18"/>
      <c r="H26" s="18"/>
      <c r="I26" s="18"/>
      <c r="J26" s="18"/>
      <c r="K26" s="18"/>
      <c r="L26" s="18"/>
    </row>
    <row r="27" spans="1:12" x14ac:dyDescent="0.3">
      <c r="A27" s="18"/>
      <c r="B27" s="18"/>
      <c r="C27" s="18"/>
      <c r="D27" s="18"/>
      <c r="E27" s="18"/>
      <c r="F27" s="18"/>
      <c r="G27" s="18"/>
      <c r="H27" s="18"/>
      <c r="I27" s="18"/>
      <c r="J27" s="18"/>
      <c r="K27" s="18"/>
      <c r="L27" s="18"/>
    </row>
    <row r="28" spans="1:12" x14ac:dyDescent="0.3">
      <c r="A28" s="18"/>
      <c r="B28" s="18"/>
      <c r="C28" s="18"/>
      <c r="D28" s="18"/>
      <c r="E28" s="18"/>
      <c r="F28" s="18"/>
      <c r="G28" s="18"/>
      <c r="H28" s="18"/>
      <c r="I28" s="18"/>
      <c r="J28" s="18"/>
      <c r="K28" s="18"/>
      <c r="L28" s="18"/>
    </row>
    <row r="29" spans="1:12" x14ac:dyDescent="0.3">
      <c r="A29" s="18"/>
      <c r="B29" s="18"/>
      <c r="C29" s="18"/>
      <c r="D29" s="18"/>
      <c r="E29" s="18"/>
      <c r="F29" s="18"/>
      <c r="G29" s="18"/>
      <c r="H29" s="18"/>
      <c r="I29" s="18"/>
      <c r="J29" s="18"/>
      <c r="K29" s="18"/>
      <c r="L29" s="18"/>
    </row>
    <row r="30" spans="1:12" x14ac:dyDescent="0.3">
      <c r="A30" s="18"/>
      <c r="B30" s="18"/>
      <c r="C30" s="18"/>
      <c r="D30" s="18"/>
      <c r="E30" s="18"/>
      <c r="F30" s="18"/>
      <c r="G30" s="18"/>
      <c r="H30" s="18"/>
      <c r="I30" s="18"/>
      <c r="J30" s="18"/>
      <c r="K30" s="18"/>
      <c r="L30" s="18"/>
    </row>
    <row r="31" spans="1:12" x14ac:dyDescent="0.3">
      <c r="A31" s="18"/>
      <c r="B31" s="18"/>
      <c r="C31" s="18"/>
      <c r="D31" s="18"/>
      <c r="E31" s="18"/>
      <c r="F31" s="18"/>
      <c r="G31" s="18"/>
      <c r="H31" s="18"/>
      <c r="I31" s="18"/>
      <c r="J31" s="18"/>
      <c r="K31" s="18"/>
      <c r="L31" s="18"/>
    </row>
    <row r="32" spans="1:12" x14ac:dyDescent="0.3">
      <c r="A32" s="18"/>
      <c r="B32" s="18"/>
      <c r="C32" s="18"/>
      <c r="D32" s="18"/>
      <c r="E32" s="18"/>
      <c r="F32" s="18"/>
      <c r="G32" s="18"/>
      <c r="H32" s="18"/>
      <c r="I32" s="18"/>
      <c r="J32" s="18"/>
      <c r="K32" s="18"/>
      <c r="L32" s="18"/>
    </row>
  </sheetData>
  <mergeCells count="4">
    <mergeCell ref="C5:D5"/>
    <mergeCell ref="C2:D2"/>
    <mergeCell ref="C3:D3"/>
    <mergeCell ref="C4:D4"/>
  </mergeCells>
  <pageMargins left="0.7" right="0.7" top="0.75" bottom="0.75" header="0.3" footer="0.3"/>
  <pageSetup paperSize="9" scale="80" orientation="landscape" verticalDpi="598"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
  <sheetViews>
    <sheetView showGridLines="0" workbookViewId="0"/>
  </sheetViews>
  <sheetFormatPr defaultRowHeight="14.4" x14ac:dyDescent="0.3"/>
  <cols>
    <col min="1" max="1" width="3.33203125" customWidth="1"/>
    <col min="2" max="2" width="68" customWidth="1"/>
    <col min="3" max="3" width="13.5546875" customWidth="1"/>
  </cols>
  <sheetData>
    <row r="1" spans="1:3" ht="35.4" customHeight="1" x14ac:dyDescent="0.3">
      <c r="A1" s="30"/>
      <c r="B1" s="31" t="s">
        <v>16</v>
      </c>
      <c r="C1" s="30"/>
    </row>
    <row r="2" spans="1:3" ht="15" x14ac:dyDescent="0.3">
      <c r="A2" s="32"/>
      <c r="B2" s="32"/>
      <c r="C2" s="33"/>
    </row>
    <row r="3" spans="1:3" ht="19.2" customHeight="1" x14ac:dyDescent="0.3">
      <c r="A3" s="32"/>
      <c r="B3" s="32" t="s">
        <v>18</v>
      </c>
      <c r="C3" s="33"/>
    </row>
    <row r="4" spans="1:3" ht="15" x14ac:dyDescent="0.3">
      <c r="A4" s="32"/>
      <c r="B4" s="32"/>
      <c r="C4" s="33"/>
    </row>
    <row r="5" spans="1:3" ht="45" x14ac:dyDescent="0.3">
      <c r="A5" s="32"/>
      <c r="B5" s="34" t="s">
        <v>11</v>
      </c>
      <c r="C5" s="33"/>
    </row>
    <row r="6" spans="1:3" ht="15" x14ac:dyDescent="0.3">
      <c r="A6" s="32"/>
      <c r="B6" s="32"/>
      <c r="C6" s="33"/>
    </row>
    <row r="7" spans="1:3" ht="30" x14ac:dyDescent="0.3">
      <c r="A7" s="32"/>
      <c r="B7" s="34" t="s">
        <v>12</v>
      </c>
      <c r="C7" s="33"/>
    </row>
    <row r="8" spans="1:3" ht="15" x14ac:dyDescent="0.3">
      <c r="A8" s="32"/>
      <c r="B8" s="32"/>
      <c r="C8" s="33"/>
    </row>
    <row r="9" spans="1:3" ht="45.6" x14ac:dyDescent="0.3">
      <c r="A9" s="32"/>
      <c r="B9" s="34" t="s">
        <v>13</v>
      </c>
      <c r="C9" s="33"/>
    </row>
    <row r="10" spans="1:3" ht="15" x14ac:dyDescent="0.3">
      <c r="A10" s="32"/>
      <c r="B10" s="32"/>
      <c r="C10" s="33"/>
    </row>
    <row r="11" spans="1:3" ht="15" x14ac:dyDescent="0.3">
      <c r="A11" s="32"/>
      <c r="B11" s="32" t="s">
        <v>17</v>
      </c>
      <c r="C11" s="33"/>
    </row>
    <row r="12" spans="1:3" ht="15" x14ac:dyDescent="0.3">
      <c r="A12" s="32"/>
      <c r="B12" s="32"/>
      <c r="C12" s="33"/>
    </row>
    <row r="13" spans="1:3" ht="24" customHeight="1" thickBot="1" x14ac:dyDescent="0.35">
      <c r="A13" s="32"/>
      <c r="B13" s="35" t="s">
        <v>14</v>
      </c>
      <c r="C13" s="33"/>
    </row>
    <row r="14" spans="1:3" ht="15" x14ac:dyDescent="0.3">
      <c r="A14" s="32"/>
      <c r="B14" s="32"/>
      <c r="C14" s="33"/>
    </row>
    <row r="15" spans="1:3" ht="90" x14ac:dyDescent="0.3">
      <c r="A15" s="32"/>
      <c r="B15" s="34" t="s">
        <v>15</v>
      </c>
      <c r="C15" s="33"/>
    </row>
    <row r="16" spans="1:3" ht="15" x14ac:dyDescent="0.3">
      <c r="A16" s="32"/>
      <c r="B16" s="32"/>
      <c r="C16" s="33"/>
    </row>
    <row r="17" spans="1:3" ht="15" x14ac:dyDescent="0.3">
      <c r="A17" s="32"/>
      <c r="B17" s="32"/>
      <c r="C17" s="33"/>
    </row>
  </sheetData>
  <pageMargins left="0.7" right="0.7" top="0.75" bottom="0.75" header="0.3" footer="0.3"/>
  <pageSetup paperSize="9" orientation="portrait" horizontalDpi="4294967293" verticalDpi="0" r:id="rId1"/>
  <picture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Compounding Analysis</vt:lpstr>
      <vt:lpstr>©</vt:lpstr>
      <vt:lpstr>'Compounding Analysis'!Print_Area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2024-03-13T02:05:18Z</dcterms:created>
  <dcterms:modified xsi:type="dcterms:W3CDTF">2024-03-13T02:05:29Z</dcterms:modified>
</cp:coreProperties>
</file>