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BA1BAF5E-5C2F-4AA3-9C60-9EE9BBC40674}" xr6:coauthVersionLast="47" xr6:coauthVersionMax="47" xr10:uidLastSave="{00000000-0000-0000-0000-000000000000}"/>
  <bookViews>
    <workbookView xWindow="-108" yWindow="-108" windowWidth="23256" windowHeight="12576" xr2:uid="{00000000-000D-0000-FFFF-FFFF00000000}"/>
  </bookViews>
  <sheets>
    <sheet name="Make or Buy Analysis" sheetId="4" r:id="rId1"/>
    <sheet name="Make Buy or Other Analysis" sheetId="1" r:id="rId2"/>
    <sheet name="©" sheetId="3" r:id="rId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2" i="4" l="1"/>
  <c r="I11" i="4"/>
  <c r="I10" i="4"/>
  <c r="I9" i="4"/>
  <c r="I8" i="4"/>
  <c r="I7" i="4"/>
  <c r="I6" i="4"/>
  <c r="F13" i="4"/>
  <c r="I13" i="4"/>
  <c r="E3" i="4"/>
  <c r="C23" i="4"/>
  <c r="D23" i="4"/>
  <c r="E23" i="4"/>
  <c r="F23" i="4"/>
  <c r="G23" i="4"/>
  <c r="H23" i="4"/>
  <c r="H24" i="4"/>
  <c r="G24" i="4"/>
  <c r="F24" i="4"/>
  <c r="E24" i="4"/>
  <c r="D24" i="4"/>
  <c r="C24" i="4"/>
  <c r="I16" i="4"/>
  <c r="I17" i="4"/>
  <c r="I18" i="4"/>
  <c r="I19" i="4"/>
  <c r="I20" i="4"/>
  <c r="I21" i="4"/>
  <c r="I22" i="4"/>
  <c r="I23" i="4"/>
  <c r="C13" i="4"/>
  <c r="D13" i="4"/>
  <c r="E13" i="4"/>
  <c r="G13" i="4"/>
  <c r="H13" i="4"/>
  <c r="H14" i="4"/>
  <c r="G14" i="4"/>
  <c r="F14" i="4"/>
  <c r="E14" i="4"/>
  <c r="D14" i="4"/>
  <c r="C14" i="4"/>
  <c r="G13" i="1"/>
  <c r="I13" i="1"/>
  <c r="I29" i="1"/>
  <c r="I30" i="1"/>
  <c r="I33" i="1"/>
  <c r="E3" i="1"/>
  <c r="I26" i="1"/>
  <c r="I27" i="1"/>
  <c r="I28" i="1"/>
  <c r="I31" i="1"/>
  <c r="I32" i="1"/>
  <c r="C13" i="1"/>
  <c r="D13" i="1"/>
  <c r="E13" i="1"/>
  <c r="F13" i="1"/>
  <c r="H13" i="1"/>
  <c r="I19" i="1"/>
  <c r="I20" i="1"/>
  <c r="I21" i="1"/>
  <c r="I23" i="1"/>
  <c r="I16" i="1"/>
  <c r="I17" i="1"/>
  <c r="I18" i="1"/>
  <c r="I22" i="1"/>
  <c r="F14" i="1"/>
  <c r="I12" i="1"/>
  <c r="G23" i="1"/>
  <c r="G33" i="1"/>
  <c r="I10" i="1"/>
  <c r="H33" i="1"/>
  <c r="F33" i="1"/>
  <c r="E33" i="1"/>
  <c r="D33" i="1"/>
  <c r="C33" i="1"/>
  <c r="E34" i="1"/>
  <c r="D34" i="1"/>
  <c r="C34" i="1"/>
  <c r="F34" i="1"/>
  <c r="G34" i="1"/>
  <c r="H34" i="1"/>
  <c r="I6" i="1"/>
  <c r="I7" i="1"/>
  <c r="I8" i="1"/>
  <c r="I9" i="1"/>
  <c r="I11" i="1"/>
  <c r="D23" i="1"/>
  <c r="E23" i="1"/>
  <c r="F23" i="1"/>
  <c r="H23" i="1"/>
  <c r="C23" i="1"/>
  <c r="C24" i="1"/>
  <c r="E24" i="1"/>
  <c r="G24" i="1"/>
  <c r="D24" i="1"/>
  <c r="H24" i="1"/>
  <c r="F24" i="1"/>
  <c r="G14" i="1"/>
  <c r="D14" i="1"/>
  <c r="H14" i="1"/>
  <c r="C14" i="1"/>
  <c r="E14" i="1"/>
</calcChain>
</file>

<file path=xl/sharedStrings.xml><?xml version="1.0" encoding="utf-8"?>
<sst xmlns="http://schemas.openxmlformats.org/spreadsheetml/2006/main" count="91" uniqueCount="35">
  <si>
    <t>e.g. Project costs</t>
  </si>
  <si>
    <t>e.g. People costs</t>
  </si>
  <si>
    <t>e.g. System costs</t>
  </si>
  <si>
    <t>e.g. Ongoing Costs</t>
  </si>
  <si>
    <t>TOTAL</t>
  </si>
  <si>
    <t>Make or Buy Analysis</t>
  </si>
  <si>
    <t>e.g. System cost</t>
  </si>
  <si>
    <t>e.g. Initial contract</t>
  </si>
  <si>
    <t>e.g. Ongoing fees</t>
  </si>
  <si>
    <t>e.g. Ongoing maintenance</t>
  </si>
  <si>
    <t>Initial Costs</t>
  </si>
  <si>
    <t>Ongoing Costs</t>
  </si>
  <si>
    <t>e.g. Other Costs</t>
  </si>
  <si>
    <t>e.g. Maintenance</t>
  </si>
  <si>
    <t xml:space="preserve">The Most Cost-Effective Option is: </t>
  </si>
  <si>
    <t>Cost to Make</t>
  </si>
  <si>
    <t>Cost to Buy</t>
  </si>
  <si>
    <t>Cumulative Chart</t>
  </si>
  <si>
    <t>Cost of Other</t>
  </si>
  <si>
    <t>Make or Buy Analysis Template</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</si>
  <si>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</si>
  <si>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</si>
  <si>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</si>
  <si>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</si>
  <si>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Limitation of Liability</t>
  </si>
  <si>
    <t>Do not delete this worksheet.</t>
  </si>
  <si>
    <t>Initial</t>
  </si>
  <si>
    <t>Year 1</t>
  </si>
  <si>
    <t>Year 2</t>
  </si>
  <si>
    <t>Year 3</t>
  </si>
  <si>
    <t>Year 4</t>
  </si>
  <si>
    <t>Year 5</t>
  </si>
  <si>
    <r>
      <rPr>
        <sz val="11"/>
        <color theme="1"/>
        <rFont val="Segoe UI Symbol"/>
        <family val="2"/>
      </rPr>
      <t>◀</t>
    </r>
    <r>
      <rPr>
        <i/>
        <sz val="10"/>
        <color theme="1"/>
        <rFont val="Calibri"/>
        <family val="2"/>
      </rPr>
      <t xml:space="preserve"> Insert more columns to add more years (or weeks or months). Copy over an existing column to ensure the formulas carry over.</t>
    </r>
  </si>
  <si>
    <r>
      <rPr>
        <sz val="11"/>
        <color theme="1"/>
        <rFont val="Segoe UI Symbol"/>
        <family val="2"/>
      </rPr>
      <t>◀</t>
    </r>
    <r>
      <rPr>
        <i/>
        <sz val="10"/>
        <color theme="1"/>
        <rFont val="Calibri"/>
        <family val="2"/>
      </rPr>
      <t xml:space="preserve"> Insert more rows to add more costs</t>
    </r>
    <r>
      <rPr>
        <i/>
        <sz val="11"/>
        <color theme="1"/>
        <rFont val="Calibri"/>
        <family val="2"/>
      </rPr>
      <t>. Copy the formulas and formatting from an existing row from above.</t>
    </r>
  </si>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</sst>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quot;$&quot;* #,##0.00_-;_-&quot;$&quot;* &quot;-&quot;??_-;_-@_-"/>
  </numFmts>
  <fonts count="31" x14ac:knownFonts="1">
    <font>
      <sz val="11"/>
      <color theme="1"/>
      <name val="Calibri"/>
      <family val="2"/>
      <scheme val="minor"/>
    </font>
    <font>
      <sz val="11"/>
      <color theme="1"/>
      <name val="Calibri"/>
      <family val="2"/>
      <scheme val="minor"/>
    </font>
    <font>
      <b/>
      <sz val="11"/>
      <color theme="0"/>
      <name val="Calibri"/>
      <family val="2"/>
      <scheme val="minor"/>
    </font>
    <font>
      <i/>
      <sz val="22"/>
      <color theme="0"/>
      <name val="Calibri"/>
      <family val="2"/>
      <scheme val="minor"/>
    </font>
    <font>
      <sz val="10"/>
      <color theme="0"/>
      <name val="Calibri"/>
      <family val="2"/>
      <scheme val="minor"/>
    </font>
    <font>
      <i/>
      <sz val="14"/>
      <color theme="0"/>
      <name val="Calibri"/>
      <family val="2"/>
      <scheme val="minor"/>
    </font>
    <font>
      <i/>
      <sz val="20"/>
      <color theme="0"/>
      <name val="Calibri"/>
      <family val="2"/>
      <scheme val="minor"/>
    </font>
    <font>
      <sz val="11"/>
      <color theme="5" tint="-0.249977111117893"/>
      <name val="Calibri"/>
      <family val="2"/>
      <scheme val="minor"/>
    </font>
    <font>
      <b/>
      <sz val="12"/>
      <color theme="1"/>
      <name val="Calibri"/>
      <family val="2"/>
      <scheme val="minor"/>
    </font>
    <font>
      <b/>
      <sz val="12"/>
      <color theme="9" tint="-0.499984740745262"/>
      <name val="Calibri"/>
      <family val="2"/>
      <scheme val="minor"/>
    </font>
    <font>
      <b/>
      <sz val="12"/>
      <color theme="0"/>
      <name val="Calibri"/>
      <family val="2"/>
      <scheme val="minor"/>
    </font>
    <font>
      <sz val="12"/>
      <color theme="1" tint="0.34998626667073579"/>
      <name val="Calibri"/>
      <family val="2"/>
      <scheme val="minor"/>
    </font>
    <font>
      <b/>
      <sz val="12"/>
      <color theme="1" tint="0.34998626667073579"/>
      <name val="Calibri"/>
      <family val="2"/>
      <scheme val="minor"/>
    </font>
    <font>
      <sz val="9"/>
      <color theme="1"/>
      <name val="Calibri"/>
      <family val="2"/>
    </font>
    <font>
      <b/>
      <sz val="13"/>
      <color theme="0"/>
      <name val="Calibri"/>
      <family val="2"/>
      <scheme val="minor"/>
    </font>
    <font>
      <b/>
      <sz val="11"/>
      <color theme="0"/>
      <name val="Arial"/>
      <family val="2"/>
    </font>
    <font>
      <b/>
      <sz val="16"/>
      <color theme="0"/>
      <name val="Arial"/>
      <family val="2"/>
    </font>
    <font>
      <sz val="11"/>
      <color theme="1"/>
      <name val="Arial"/>
      <family val="2"/>
    </font>
    <font>
      <sz val="12"/>
      <color theme="1"/>
      <name val="Arial"/>
      <family val="2"/>
    </font>
    <font>
      <b/>
      <sz val="12"/>
      <color theme="1"/>
      <name val="Arial"/>
      <family val="2"/>
    </font>
    <font>
      <i/>
      <sz val="14"/>
      <color theme="1"/>
      <name val="Arial"/>
      <family val="2"/>
    </font>
    <font>
      <sz val="10"/>
      <color theme="1"/>
      <name val="Calibri"/>
      <family val="2"/>
    </font>
    <font>
      <b/>
      <sz val="13"/>
      <color theme="1" tint="0.34998626667073579"/>
      <name val="Calibri"/>
      <family val="2"/>
      <scheme val="minor"/>
    </font>
    <font>
      <sz val="11"/>
      <color theme="1" tint="0.34998626667073579"/>
      <name val="Calibri"/>
      <family val="2"/>
      <scheme val="minor"/>
    </font>
    <font>
      <sz val="12"/>
      <color theme="0"/>
      <name val="Calibri"/>
      <family val="2"/>
      <scheme val="minor"/>
    </font>
    <font>
      <i/>
      <sz val="12"/>
      <color theme="0"/>
      <name val="Calibri"/>
      <family val="2"/>
      <scheme val="minor"/>
    </font>
    <font>
      <sz val="12"/>
      <color theme="0" tint="-0.14999847407452621"/>
      <name val="Calibri"/>
      <family val="2"/>
      <scheme val="minor"/>
    </font>
    <font>
      <sz val="11"/>
      <color theme="0" tint="-0.14999847407452621"/>
      <name val="Calibri"/>
      <family val="2"/>
      <scheme val="minor"/>
    </font>
    <font>
      <sz val="11"/>
      <color theme="1"/>
      <name val="Segoe UI Symbol"/>
      <family val="2"/>
    </font>
    <font>
      <i/>
      <sz val="11"/>
      <color theme="1"/>
      <name val="Calibri"/>
      <family val="2"/>
    </font>
    <font>
      <i/>
      <sz val="10"/>
      <color theme="1"/>
      <name val="Calibri"/>
      <family val="2"/>
    </font>
  </fonts>
  <fills count="6">
    <fill>
      <patternFill patternType="none"/>
    </fill>
    <fill>
      <patternFill patternType="gray125"/>
    </fill>
    <fill>
      <patternFill patternType="solid">
        <fgColor theme="3"/>
        <bgColor indexed="64"/>
      </patternFill>
    </fill>
    <fill>
      <patternFill patternType="solid">
        <fgColor rgb="FFFDDBB1"/>
        <bgColor indexed="64"/>
      </patternFill>
    </fill>
    <fill>
      <patternFill patternType="solid">
        <fgColor rgb="FF8FB9AB"/>
        <bgColor indexed="64"/>
      </patternFill>
    </fill>
    <fill>
      <patternFill patternType="solid">
        <fgColor theme="0"/>
        <bgColor indexed="64"/>
      </patternFill>
    </fill>
  </fills>
  <borders count="25">
    <border>
      <left/>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bottom style="medium">
        <color theme="3"/>
      </bottom>
      <diagonal/>
    </border>
    <border>
      <left style="medium">
        <color indexed="64"/>
      </left>
      <right style="medium">
        <color indexed="64"/>
      </right>
      <top style="medium">
        <color indexed="64"/>
      </top>
      <bottom style="dotted">
        <color theme="1" tint="0.34998626667073579"/>
      </bottom>
      <diagonal/>
    </border>
    <border>
      <left/>
      <right style="medium">
        <color indexed="64"/>
      </right>
      <top style="medium">
        <color indexed="64"/>
      </top>
      <bottom style="dotted">
        <color theme="1" tint="0.34998626667073579"/>
      </bottom>
      <diagonal/>
    </border>
    <border>
      <left/>
      <right style="medium">
        <color indexed="64"/>
      </right>
      <top style="dotted">
        <color theme="1" tint="0.34998626667073579"/>
      </top>
      <bottom style="dotted">
        <color theme="1" tint="0.34998626667073579"/>
      </bottom>
      <diagonal/>
    </border>
    <border>
      <left/>
      <right style="thin">
        <color indexed="64"/>
      </right>
      <top style="medium">
        <color indexed="64"/>
      </top>
      <bottom style="dotted">
        <color theme="1" tint="0.34998626667073579"/>
      </bottom>
      <diagonal/>
    </border>
    <border>
      <left style="medium">
        <color indexed="64"/>
      </left>
      <right style="medium">
        <color indexed="64"/>
      </right>
      <top style="dotted">
        <color theme="1" tint="0.34998626667073579"/>
      </top>
      <bottom style="dotted">
        <color theme="1" tint="0.34998626667073579"/>
      </bottom>
      <diagonal/>
    </border>
    <border>
      <left/>
      <right style="thin">
        <color indexed="64"/>
      </right>
      <top style="dotted">
        <color theme="1" tint="0.34998626667073579"/>
      </top>
      <bottom style="dotted">
        <color theme="1" tint="0.34998626667073579"/>
      </bottom>
      <diagonal/>
    </border>
    <border>
      <left style="medium">
        <color indexed="64"/>
      </left>
      <right style="medium">
        <color indexed="64"/>
      </right>
      <top style="dotted">
        <color theme="1" tint="0.34998626667073579"/>
      </top>
      <bottom style="medium">
        <color indexed="64"/>
      </bottom>
      <diagonal/>
    </border>
    <border>
      <left/>
      <right style="thin">
        <color indexed="64"/>
      </right>
      <top style="dotted">
        <color theme="1" tint="0.34998626667073579"/>
      </top>
      <bottom style="medium">
        <color indexed="64"/>
      </bottom>
      <diagonal/>
    </border>
    <border>
      <left/>
      <right style="medium">
        <color indexed="64"/>
      </right>
      <top style="dotted">
        <color theme="1" tint="0.34998626667073579"/>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55">
    <xf numFmtId="0" fontId="0" fillId="0" borderId="0" xfId="0"/>
    <xf numFmtId="44" fontId="0" fillId="0" borderId="0" xfId="0" applyNumberFormat="1"/>
    <xf numFmtId="0" fontId="2" fillId="2" borderId="2" xfId="0" applyFont="1" applyFill="1" applyBorder="1" applyAlignment="1">
      <alignment horizontal="center" vertical="center"/>
    </xf>
    <xf numFmtId="0" fontId="3" fillId="2" borderId="5" xfId="0" applyFont="1" applyFill="1" applyBorder="1"/>
    <xf numFmtId="0" fontId="3" fillId="2" borderId="0" xfId="0" applyFont="1" applyFill="1" applyAlignment="1">
      <alignment vertical="center"/>
    </xf>
    <xf numFmtId="0" fontId="5" fillId="2" borderId="0" xfId="0" applyFont="1" applyFill="1" applyAlignment="1">
      <alignment horizontal="right" vertical="center"/>
    </xf>
    <xf numFmtId="0" fontId="4" fillId="2" borderId="0" xfId="0" applyFont="1" applyFill="1"/>
    <xf numFmtId="0" fontId="4" fillId="2" borderId="6" xfId="0" applyFont="1" applyFill="1" applyBorder="1"/>
    <xf numFmtId="0" fontId="10" fillId="2" borderId="4" xfId="0" applyFont="1" applyFill="1" applyBorder="1" applyAlignment="1">
      <alignment horizontal="center" vertical="center"/>
    </xf>
    <xf numFmtId="0" fontId="6" fillId="2" borderId="0" xfId="0" applyFont="1" applyFill="1" applyAlignment="1">
      <alignment horizontal="center" vertical="center"/>
    </xf>
    <xf numFmtId="0" fontId="7" fillId="3" borderId="8" xfId="0" applyFont="1" applyFill="1" applyBorder="1"/>
    <xf numFmtId="44" fontId="9" fillId="4" borderId="8" xfId="0" applyNumberFormat="1" applyFont="1" applyFill="1" applyBorder="1" applyAlignment="1">
      <alignment vertical="center"/>
    </xf>
    <xf numFmtId="0" fontId="13" fillId="0" borderId="0" xfId="0" applyFont="1" applyAlignment="1">
      <alignment horizontal="left" vertical="center" indent="1"/>
    </xf>
    <xf numFmtId="44" fontId="10" fillId="4" borderId="11" xfId="0" applyNumberFormat="1" applyFont="1" applyFill="1" applyBorder="1" applyAlignment="1">
      <alignment horizontal="center" vertical="center"/>
    </xf>
    <xf numFmtId="0" fontId="10" fillId="4" borderId="11" xfId="0" applyFont="1" applyFill="1" applyBorder="1" applyAlignment="1">
      <alignment horizontal="center" vertical="center"/>
    </xf>
    <xf numFmtId="0" fontId="10" fillId="4" borderId="1" xfId="0" applyFont="1" applyFill="1" applyBorder="1" applyAlignment="1">
      <alignment horizontal="right" vertical="center" indent="1"/>
    </xf>
    <xf numFmtId="44" fontId="10" fillId="4" borderId="9" xfId="0" applyNumberFormat="1" applyFont="1" applyFill="1" applyBorder="1" applyAlignment="1">
      <alignment vertical="center"/>
    </xf>
    <xf numFmtId="44" fontId="10" fillId="4" borderId="7" xfId="0" applyNumberFormat="1" applyFont="1" applyFill="1" applyBorder="1" applyAlignment="1">
      <alignment vertical="center"/>
    </xf>
    <xf numFmtId="0" fontId="14" fillId="4" borderId="10" xfId="0" applyFont="1" applyFill="1" applyBorder="1" applyAlignment="1">
      <alignment horizontal="center" vertical="center"/>
    </xf>
    <xf numFmtId="0" fontId="15" fillId="2" borderId="0" xfId="0" applyFont="1" applyFill="1"/>
    <xf numFmtId="0" fontId="16" fillId="2" borderId="0" xfId="0" applyFont="1" applyFill="1" applyAlignment="1">
      <alignment vertical="center"/>
    </xf>
    <xf numFmtId="0" fontId="17" fillId="5" borderId="0" xfId="0" applyFont="1" applyFill="1" applyAlignment="1">
      <alignment vertical="center"/>
    </xf>
    <xf numFmtId="0" fontId="18" fillId="5" borderId="0" xfId="0" applyFont="1" applyFill="1" applyAlignment="1">
      <alignment vertical="center" wrapText="1"/>
    </xf>
    <xf numFmtId="0" fontId="18" fillId="5" borderId="0" xfId="0" applyFont="1" applyFill="1" applyAlignment="1">
      <alignment vertical="center"/>
    </xf>
    <xf numFmtId="0" fontId="20" fillId="5" borderId="13" xfId="0" applyFont="1" applyFill="1" applyBorder="1" applyAlignment="1">
      <alignment vertical="center"/>
    </xf>
    <xf numFmtId="0" fontId="21" fillId="0" borderId="0" xfId="0" applyFont="1" applyAlignment="1">
      <alignment horizontal="left" vertical="center" indent="1"/>
    </xf>
    <xf numFmtId="0" fontId="22" fillId="3" borderId="10" xfId="0" applyFont="1" applyFill="1" applyBorder="1" applyAlignment="1">
      <alignment horizontal="center" vertical="center"/>
    </xf>
    <xf numFmtId="0" fontId="12" fillId="3" borderId="11" xfId="0" applyFont="1" applyFill="1" applyBorder="1" applyAlignment="1">
      <alignment horizontal="center" vertical="center"/>
    </xf>
    <xf numFmtId="0" fontId="23" fillId="3" borderId="8" xfId="0" applyFont="1" applyFill="1" applyBorder="1"/>
    <xf numFmtId="0" fontId="11" fillId="0" borderId="14" xfId="0" applyFont="1" applyBorder="1" applyAlignment="1">
      <alignment horizontal="right" vertical="center" wrapText="1" indent="1"/>
    </xf>
    <xf numFmtId="44" fontId="11" fillId="0" borderId="17" xfId="0" applyNumberFormat="1" applyFont="1" applyBorder="1" applyAlignment="1">
      <alignment vertical="center"/>
    </xf>
    <xf numFmtId="0" fontId="11" fillId="0" borderId="18" xfId="0" applyFont="1" applyBorder="1" applyAlignment="1">
      <alignment horizontal="right" vertical="center" wrapText="1" indent="1"/>
    </xf>
    <xf numFmtId="44" fontId="11" fillId="0" borderId="19" xfId="0" applyNumberFormat="1" applyFont="1" applyBorder="1" applyAlignment="1">
      <alignment vertical="center"/>
    </xf>
    <xf numFmtId="44" fontId="11" fillId="0" borderId="19" xfId="1" applyFont="1" applyBorder="1" applyAlignment="1">
      <alignment vertical="center"/>
    </xf>
    <xf numFmtId="0" fontId="8" fillId="3" borderId="20" xfId="0" applyFont="1" applyFill="1" applyBorder="1" applyAlignment="1">
      <alignment horizontal="right" vertical="center" indent="1"/>
    </xf>
    <xf numFmtId="44" fontId="12" fillId="3" borderId="21" xfId="0" applyNumberFormat="1" applyFont="1" applyFill="1" applyBorder="1" applyAlignment="1">
      <alignment vertical="center"/>
    </xf>
    <xf numFmtId="44" fontId="12" fillId="3" borderId="22" xfId="0" applyNumberFormat="1" applyFont="1" applyFill="1" applyBorder="1" applyAlignment="1">
      <alignment vertical="center"/>
    </xf>
    <xf numFmtId="0" fontId="25" fillId="2" borderId="3" xfId="0" applyFont="1" applyFill="1" applyBorder="1" applyAlignment="1">
      <alignment horizontal="center" vertical="center"/>
    </xf>
    <xf numFmtId="44" fontId="26" fillId="5" borderId="11" xfId="0" applyNumberFormat="1" applyFont="1" applyFill="1" applyBorder="1" applyAlignment="1">
      <alignment vertical="center"/>
    </xf>
    <xf numFmtId="0" fontId="27" fillId="0" borderId="8" xfId="0" applyFont="1" applyBorder="1"/>
    <xf numFmtId="44" fontId="26" fillId="5" borderId="0" xfId="0" applyNumberFormat="1" applyFont="1" applyFill="1" applyAlignment="1">
      <alignment vertical="center"/>
    </xf>
    <xf numFmtId="44" fontId="26" fillId="5" borderId="12" xfId="0" applyNumberFormat="1" applyFont="1" applyFill="1" applyBorder="1" applyAlignment="1">
      <alignment vertical="center"/>
    </xf>
    <xf numFmtId="44" fontId="11" fillId="3" borderId="15" xfId="0" applyNumberFormat="1" applyFont="1" applyFill="1" applyBorder="1" applyAlignment="1">
      <alignment vertical="center"/>
    </xf>
    <xf numFmtId="44" fontId="11" fillId="3" borderId="16" xfId="0" applyNumberFormat="1" applyFont="1" applyFill="1" applyBorder="1" applyAlignment="1">
      <alignment vertical="center"/>
    </xf>
    <xf numFmtId="44" fontId="24" fillId="4" borderId="15" xfId="0" applyNumberFormat="1" applyFont="1" applyFill="1" applyBorder="1" applyAlignment="1">
      <alignment vertical="center"/>
    </xf>
    <xf numFmtId="44" fontId="24" fillId="4" borderId="16" xfId="0" applyNumberFormat="1" applyFont="1" applyFill="1" applyBorder="1" applyAlignment="1">
      <alignment vertical="center"/>
    </xf>
    <xf numFmtId="0" fontId="26" fillId="5" borderId="23" xfId="0" applyFont="1" applyFill="1" applyBorder="1" applyAlignment="1">
      <alignment horizontal="right" vertical="center" indent="1"/>
    </xf>
    <xf numFmtId="0" fontId="26" fillId="5" borderId="24" xfId="0" applyFont="1" applyFill="1" applyBorder="1" applyAlignment="1">
      <alignment horizontal="right" vertical="center" indent="1"/>
    </xf>
    <xf numFmtId="0" fontId="29" fillId="0" borderId="0" xfId="0" applyFont="1" applyAlignment="1">
      <alignment vertical="center"/>
    </xf>
    <xf numFmtId="44" fontId="26" fillId="5" borderId="7" xfId="0" applyNumberFormat="1" applyFont="1" applyFill="1" applyBorder="1" applyAlignment="1">
      <alignmen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left" vertical="center" indent="2"/>
    </xf>
    <xf numFmtId="0" fontId="25" fillId="2" borderId="11" xfId="0" applyFont="1" applyFill="1" applyBorder="1" applyAlignment="1">
      <alignment horizontal="center" vertical="center"/>
    </xf>
  </cellXfs>
  <cellStyles count="2">
    <cellStyle name="Currency" xfId="1" builtinId="4"/>
    <cellStyle name="Normal" xfId="0" builtinId="0"/>
  </cellStyles>
  <dxfs count="0"/>
  <tableStyles count="1" defaultTableStyle="TableStyleMedium2" defaultPivotStyle="PivotStyleLight16">
    <tableStyle name="Table Style 1" pivot="0" count="0" xr9:uid="{00000000-0011-0000-FFFF-FFFF00000000}"/>
  </tableStyles>
  <colors>
    <mruColors>
      <color rgb="FFFDDBB1"/>
      <color rgb="FF8FB9AB"/>
      <color rgb="FFFCC98C"/>
      <color rgb="FFFFCC00"/>
      <color rgb="FF334D63"/>
      <color rgb="FFD5E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AU" sz="1600" b="1" i="1"/>
              <a:t>Make or Buy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'Make or Buy Analysis'!$B$5</c:f>
              <c:strCache>
                <c:ptCount val="1"/>
                <c:pt idx="0">
                  <c:v>Cost to Make</c:v>
                </c:pt>
              </c:strCache>
            </c:strRef>
          </c:tx>
          <c:spPr>
            <a:ln w="28575" cap="rnd">
              <a:solidFill>
                <a:schemeClr val="tx2"/>
              </a:solidFill>
              <a:round/>
            </a:ln>
            <a:effectLst/>
          </c:spPr>
          <c:marker>
            <c:symbol val="circle"/>
            <c:size val="6"/>
            <c:spPr>
              <a:solidFill>
                <a:schemeClr val="tx2"/>
              </a:solidFill>
              <a:ln w="9525">
                <a:noFill/>
              </a:ln>
              <a:effectLst/>
            </c:spPr>
          </c:marker>
          <c:cat>
            <c:strRef>
              <c:f>'Make or Buy Analysis'!$C$5:$H$5</c:f>
              <c:strCache>
                <c:ptCount val="6"/>
                <c:pt idx="0">
                  <c:v>Initial</c:v>
                </c:pt>
                <c:pt idx="1">
                  <c:v>Year 1</c:v>
                </c:pt>
                <c:pt idx="2">
                  <c:v>Year 2</c:v>
                </c:pt>
                <c:pt idx="3">
                  <c:v>Year 3</c:v>
                </c:pt>
                <c:pt idx="4">
                  <c:v>Year 4</c:v>
                </c:pt>
                <c:pt idx="5">
                  <c:v>Year 5</c:v>
                </c:pt>
              </c:strCache>
            </c:strRef>
          </c:cat>
          <c:val>
            <c:numRef>
              <c:f>'Make or Buy Analysis'!$C$14:$H$14</c:f>
              <c:numCache>
                <c:formatCode>_("$"* #,##0.00_);_("$"* \(#,##0.00\);_("$"* "-"??_);_(@_)</c:formatCode>
                <c:ptCount val="6"/>
                <c:pt idx="0">
                  <c:v>1700</c:v>
                </c:pt>
                <c:pt idx="1">
                  <c:v>1900</c:v>
                </c:pt>
                <c:pt idx="2">
                  <c:v>2050</c:v>
                </c:pt>
                <c:pt idx="3">
                  <c:v>2100</c:v>
                </c:pt>
                <c:pt idx="4">
                  <c:v>2200</c:v>
                </c:pt>
                <c:pt idx="5">
                  <c:v>2400</c:v>
                </c:pt>
              </c:numCache>
            </c:numRef>
          </c:val>
          <c:smooth val="0"/>
          <c:extLst>
            <c:ext xmlns:c16="http://schemas.microsoft.com/office/drawing/2014/chart" uri="{C3380CC4-5D6E-409C-BE32-E72D297353CC}">
              <c16:uniqueId val="{00000000-1BE0-406D-A216-A4198693B51C}"/>
            </c:ext>
          </c:extLst>
        </c:ser>
        <c:ser>
          <c:idx val="1"/>
          <c:order val="1"/>
          <c:tx>
            <c:strRef>
              <c:f>'Make or Buy Analysis'!$B$15</c:f>
              <c:strCache>
                <c:ptCount val="1"/>
                <c:pt idx="0">
                  <c:v>Cost to Buy</c:v>
                </c:pt>
              </c:strCache>
            </c:strRef>
          </c:tx>
          <c:spPr>
            <a:ln w="28575" cap="rnd">
              <a:solidFill>
                <a:schemeClr val="accent6"/>
              </a:solidFill>
              <a:round/>
            </a:ln>
            <a:effectLst/>
          </c:spPr>
          <c:marker>
            <c:symbol val="circle"/>
            <c:size val="6"/>
            <c:spPr>
              <a:solidFill>
                <a:schemeClr val="accent6"/>
              </a:solidFill>
              <a:ln w="9525">
                <a:noFill/>
              </a:ln>
              <a:effectLst/>
            </c:spPr>
          </c:marker>
          <c:cat>
            <c:strRef>
              <c:f>'Make or Buy Analysis'!$C$5:$H$5</c:f>
              <c:strCache>
                <c:ptCount val="6"/>
                <c:pt idx="0">
                  <c:v>Initial</c:v>
                </c:pt>
                <c:pt idx="1">
                  <c:v>Year 1</c:v>
                </c:pt>
                <c:pt idx="2">
                  <c:v>Year 2</c:v>
                </c:pt>
                <c:pt idx="3">
                  <c:v>Year 3</c:v>
                </c:pt>
                <c:pt idx="4">
                  <c:v>Year 4</c:v>
                </c:pt>
                <c:pt idx="5">
                  <c:v>Year 5</c:v>
                </c:pt>
              </c:strCache>
            </c:strRef>
          </c:cat>
          <c:val>
            <c:numRef>
              <c:f>'Make or Buy Analysis'!$C$24:$H$24</c:f>
              <c:numCache>
                <c:formatCode>_("$"* #,##0.00_);_("$"* \(#,##0.00\);_("$"* "-"??_);_(@_)</c:formatCode>
                <c:ptCount val="6"/>
                <c:pt idx="0">
                  <c:v>1400</c:v>
                </c:pt>
                <c:pt idx="1">
                  <c:v>1600</c:v>
                </c:pt>
                <c:pt idx="2">
                  <c:v>2000</c:v>
                </c:pt>
                <c:pt idx="3">
                  <c:v>2500</c:v>
                </c:pt>
                <c:pt idx="4">
                  <c:v>2600</c:v>
                </c:pt>
                <c:pt idx="5">
                  <c:v>2700</c:v>
                </c:pt>
              </c:numCache>
            </c:numRef>
          </c:val>
          <c:smooth val="0"/>
          <c:extLst>
            <c:ext xmlns:c16="http://schemas.microsoft.com/office/drawing/2014/chart" uri="{C3380CC4-5D6E-409C-BE32-E72D297353CC}">
              <c16:uniqueId val="{00000001-1BE0-406D-A216-A4198693B51C}"/>
            </c:ext>
          </c:extLst>
        </c:ser>
        <c:dLbls>
          <c:showLegendKey val="0"/>
          <c:showVal val="0"/>
          <c:showCatName val="0"/>
          <c:showSerName val="0"/>
          <c:showPercent val="0"/>
          <c:showBubbleSize val="0"/>
        </c:dLbls>
        <c:marker val="1"/>
        <c:smooth val="0"/>
        <c:axId val="628574088"/>
        <c:axId val="628574480"/>
      </c:lineChart>
      <c:catAx>
        <c:axId val="62857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74480"/>
        <c:crosses val="autoZero"/>
        <c:auto val="1"/>
        <c:lblAlgn val="ctr"/>
        <c:lblOffset val="100"/>
        <c:noMultiLvlLbl val="0"/>
      </c:catAx>
      <c:valAx>
        <c:axId val="6285744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74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AU" sz="1600" b="1" i="1"/>
              <a:t>Make or Buy Analysis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'Make Buy or Other Analysis'!$B$5</c:f>
              <c:strCache>
                <c:ptCount val="1"/>
                <c:pt idx="0">
                  <c:v>Cost to Make</c:v>
                </c:pt>
              </c:strCache>
            </c:strRef>
          </c:tx>
          <c:spPr>
            <a:ln w="28575" cap="rnd">
              <a:solidFill>
                <a:schemeClr val="tx2"/>
              </a:solidFill>
              <a:round/>
            </a:ln>
            <a:effectLst/>
          </c:spPr>
          <c:marker>
            <c:symbol val="circle"/>
            <c:size val="6"/>
            <c:spPr>
              <a:solidFill>
                <a:schemeClr val="tx2"/>
              </a:solidFill>
              <a:ln w="9525">
                <a:noFill/>
              </a:ln>
              <a:effectLst/>
            </c:spPr>
          </c:marker>
          <c:cat>
            <c:strRef>
              <c:f>'Make Buy or Other Analysis'!$C$5:$H$5</c:f>
              <c:strCache>
                <c:ptCount val="6"/>
                <c:pt idx="0">
                  <c:v>Initial</c:v>
                </c:pt>
                <c:pt idx="1">
                  <c:v>Year 1</c:v>
                </c:pt>
                <c:pt idx="2">
                  <c:v>Year 2</c:v>
                </c:pt>
                <c:pt idx="3">
                  <c:v>Year 3</c:v>
                </c:pt>
                <c:pt idx="4">
                  <c:v>Year 4</c:v>
                </c:pt>
                <c:pt idx="5">
                  <c:v>Year 5</c:v>
                </c:pt>
              </c:strCache>
            </c:strRef>
          </c:cat>
          <c:val>
            <c:numRef>
              <c:f>'Make Buy or Other Analysis'!$C$14:$H$14</c:f>
              <c:numCache>
                <c:formatCode>_("$"* #,##0.00_);_("$"* \(#,##0.00\);_("$"* "-"??_);_(@_)</c:formatCode>
                <c:ptCount val="6"/>
                <c:pt idx="0">
                  <c:v>1700</c:v>
                </c:pt>
                <c:pt idx="1">
                  <c:v>1900</c:v>
                </c:pt>
                <c:pt idx="2">
                  <c:v>2050</c:v>
                </c:pt>
                <c:pt idx="3">
                  <c:v>2100</c:v>
                </c:pt>
                <c:pt idx="4">
                  <c:v>2200</c:v>
                </c:pt>
                <c:pt idx="5">
                  <c:v>2400</c:v>
                </c:pt>
              </c:numCache>
            </c:numRef>
          </c:val>
          <c:smooth val="0"/>
          <c:extLst>
            <c:ext xmlns:c16="http://schemas.microsoft.com/office/drawing/2014/chart" uri="{C3380CC4-5D6E-409C-BE32-E72D297353CC}">
              <c16:uniqueId val="{00000000-7494-4A77-AD71-F970614EEAD3}"/>
            </c:ext>
          </c:extLst>
        </c:ser>
        <c:ser>
          <c:idx val="1"/>
          <c:order val="1"/>
          <c:tx>
            <c:strRef>
              <c:f>'Make Buy or Other Analysis'!$B$15</c:f>
              <c:strCache>
                <c:ptCount val="1"/>
                <c:pt idx="0">
                  <c:v>Cost to Buy</c:v>
                </c:pt>
              </c:strCache>
            </c:strRef>
          </c:tx>
          <c:spPr>
            <a:ln w="28575" cap="rnd">
              <a:solidFill>
                <a:schemeClr val="accent6"/>
              </a:solidFill>
              <a:round/>
            </a:ln>
            <a:effectLst/>
          </c:spPr>
          <c:marker>
            <c:symbol val="circle"/>
            <c:size val="6"/>
            <c:spPr>
              <a:solidFill>
                <a:schemeClr val="accent6"/>
              </a:solidFill>
              <a:ln w="9525">
                <a:noFill/>
              </a:ln>
              <a:effectLst/>
            </c:spPr>
          </c:marker>
          <c:cat>
            <c:strRef>
              <c:f>'Make Buy or Other Analysis'!$C$5:$H$5</c:f>
              <c:strCache>
                <c:ptCount val="6"/>
                <c:pt idx="0">
                  <c:v>Initial</c:v>
                </c:pt>
                <c:pt idx="1">
                  <c:v>Year 1</c:v>
                </c:pt>
                <c:pt idx="2">
                  <c:v>Year 2</c:v>
                </c:pt>
                <c:pt idx="3">
                  <c:v>Year 3</c:v>
                </c:pt>
                <c:pt idx="4">
                  <c:v>Year 4</c:v>
                </c:pt>
                <c:pt idx="5">
                  <c:v>Year 5</c:v>
                </c:pt>
              </c:strCache>
            </c:strRef>
          </c:cat>
          <c:val>
            <c:numRef>
              <c:f>'Make Buy or Other Analysis'!$C$24:$H$24</c:f>
              <c:numCache>
                <c:formatCode>_("$"* #,##0.00_);_("$"* \(#,##0.00\);_("$"* "-"??_);_(@_)</c:formatCode>
                <c:ptCount val="6"/>
                <c:pt idx="0">
                  <c:v>1400</c:v>
                </c:pt>
                <c:pt idx="1">
                  <c:v>1600</c:v>
                </c:pt>
                <c:pt idx="2">
                  <c:v>2000</c:v>
                </c:pt>
                <c:pt idx="3">
                  <c:v>2500</c:v>
                </c:pt>
                <c:pt idx="4">
                  <c:v>2600</c:v>
                </c:pt>
                <c:pt idx="5">
                  <c:v>2700</c:v>
                </c:pt>
              </c:numCache>
            </c:numRef>
          </c:val>
          <c:smooth val="0"/>
          <c:extLst>
            <c:ext xmlns:c16="http://schemas.microsoft.com/office/drawing/2014/chart" uri="{C3380CC4-5D6E-409C-BE32-E72D297353CC}">
              <c16:uniqueId val="{00000001-7494-4A77-AD71-F970614EEAD3}"/>
            </c:ext>
          </c:extLst>
        </c:ser>
        <c:ser>
          <c:idx val="2"/>
          <c:order val="2"/>
          <c:tx>
            <c:strRef>
              <c:f>'Make Buy or Other Analysis'!$B$25</c:f>
              <c:strCache>
                <c:ptCount val="1"/>
                <c:pt idx="0">
                  <c:v>Cost of Other</c:v>
                </c:pt>
              </c:strCache>
            </c:strRef>
          </c:tx>
          <c:spPr>
            <a:ln w="28575" cap="rnd">
              <a:solidFill>
                <a:schemeClr val="accent4"/>
              </a:solidFill>
              <a:round/>
            </a:ln>
            <a:effectLst/>
          </c:spPr>
          <c:marker>
            <c:symbol val="circle"/>
            <c:size val="6"/>
            <c:spPr>
              <a:solidFill>
                <a:schemeClr val="accent4"/>
              </a:solidFill>
              <a:ln w="9525">
                <a:noFill/>
              </a:ln>
              <a:effectLst/>
            </c:spPr>
          </c:marker>
          <c:cat>
            <c:strRef>
              <c:f>'Make Buy or Other Analysis'!$C$5:$H$5</c:f>
              <c:strCache>
                <c:ptCount val="6"/>
                <c:pt idx="0">
                  <c:v>Initial</c:v>
                </c:pt>
                <c:pt idx="1">
                  <c:v>Year 1</c:v>
                </c:pt>
                <c:pt idx="2">
                  <c:v>Year 2</c:v>
                </c:pt>
                <c:pt idx="3">
                  <c:v>Year 3</c:v>
                </c:pt>
                <c:pt idx="4">
                  <c:v>Year 4</c:v>
                </c:pt>
                <c:pt idx="5">
                  <c:v>Year 5</c:v>
                </c:pt>
              </c:strCache>
            </c:strRef>
          </c:cat>
          <c:val>
            <c:numRef>
              <c:f>'Make Buy or Other Analysis'!$C$34:$H$34</c:f>
              <c:numCache>
                <c:formatCode>_("$"* #,##0.00_);_("$"* \(#,##0.00\);_("$"* "-"??_);_(@_)</c:formatCode>
                <c:ptCount val="6"/>
                <c:pt idx="0">
                  <c:v>1100</c:v>
                </c:pt>
                <c:pt idx="1">
                  <c:v>1400</c:v>
                </c:pt>
                <c:pt idx="2">
                  <c:v>1900</c:v>
                </c:pt>
                <c:pt idx="3">
                  <c:v>2500</c:v>
                </c:pt>
                <c:pt idx="4">
                  <c:v>2800</c:v>
                </c:pt>
                <c:pt idx="5">
                  <c:v>3000</c:v>
                </c:pt>
              </c:numCache>
            </c:numRef>
          </c:val>
          <c:smooth val="0"/>
          <c:extLst>
            <c:ext xmlns:c16="http://schemas.microsoft.com/office/drawing/2014/chart" uri="{C3380CC4-5D6E-409C-BE32-E72D297353CC}">
              <c16:uniqueId val="{00000002-7494-4A77-AD71-F970614EEAD3}"/>
            </c:ext>
          </c:extLst>
        </c:ser>
        <c:dLbls>
          <c:showLegendKey val="0"/>
          <c:showVal val="0"/>
          <c:showCatName val="0"/>
          <c:showSerName val="0"/>
          <c:showPercent val="0"/>
          <c:showBubbleSize val="0"/>
        </c:dLbls>
        <c:marker val="1"/>
        <c:smooth val="0"/>
        <c:axId val="628574088"/>
        <c:axId val="628574480"/>
      </c:lineChart>
      <c:catAx>
        <c:axId val="628574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74480"/>
        <c:crosses val="autoZero"/>
        <c:auto val="1"/>
        <c:lblAlgn val="ctr"/>
        <c:lblOffset val="100"/>
        <c:noMultiLvlLbl val="0"/>
      </c:catAx>
      <c:valAx>
        <c:axId val="62857448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574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142091</xdr:colOff>
      <xdr:row>1</xdr:row>
      <xdr:rowOff>2465</xdr:rowOff>
    </xdr:from>
    <xdr:to>
      <xdr:col>16</xdr:col>
      <xdr:colOff>484094</xdr:colOff>
      <xdr:row>12</xdr:row>
      <xdr:rowOff>281940</xdr:rowOff>
    </xdr:to>
    <xdr:graphicFrame macro="">
      <xdr:nvGraphicFramePr>
        <xdr:cNvPr id="2" name="Chart 1">
          <a:extLst>
            <a:ext uri="{FF2B5EF4-FFF2-40B4-BE49-F238E27FC236}">
              <a16:creationId xmlns:a16="http://schemas.microsoft.com/office/drawing/2014/main" id="{4953C0D0-A693-426D-9695-CF823CB92A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142091</xdr:colOff>
      <xdr:row>1</xdr:row>
      <xdr:rowOff>2465</xdr:rowOff>
    </xdr:from>
    <xdr:to>
      <xdr:col>16</xdr:col>
      <xdr:colOff>484094</xdr:colOff>
      <xdr:row>12</xdr:row>
      <xdr:rowOff>281940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2721-C234-4E26-B31E-730164FD822F}">
  <dimension ref="B1:K24"/>
  <sheetViews>
    <sheetView showGridLines="0" tabSelected="1" zoomScaleNormal="100" workbookViewId="0">
      <selection activeCell="B30" sqref="B30"/>
    </sheetView>
  </sheetViews>
  <sheetFormatPr defaultRowHeight="14.4" x14ac:dyDescent="0.3"/>
  <cols>
    <col min="1" max="1" width="1.6640625" customWidth="1"/>
    <col min="2" max="2" width="26.88671875" bestFit="1" customWidth="1"/>
    <col min="3" max="8" width="12.77734375" customWidth="1"/>
    <col min="9" max="9" width="11.88671875" bestFit="1" customWidth="1"/>
    <col min="11" max="11" width="11.33203125" bestFit="1" customWidth="1"/>
  </cols>
  <sheetData>
    <row r="1" spans="2:11" ht="8.4" customHeight="1" thickBot="1" x14ac:dyDescent="0.35"/>
    <row r="2" spans="2:11" ht="33.6" customHeight="1" x14ac:dyDescent="0.3">
      <c r="B2" s="50" t="s">
        <v>5</v>
      </c>
      <c r="C2" s="51"/>
      <c r="D2" s="51"/>
      <c r="E2" s="51"/>
      <c r="F2" s="51"/>
      <c r="G2" s="51"/>
      <c r="H2" s="51"/>
      <c r="I2" s="52"/>
      <c r="K2" s="1"/>
    </row>
    <row r="3" spans="2:11" ht="38.4" customHeight="1" thickBot="1" x14ac:dyDescent="0.6">
      <c r="B3" s="3"/>
      <c r="C3" s="4"/>
      <c r="D3" s="5" t="s">
        <v>14</v>
      </c>
      <c r="E3" s="53" t="str">
        <f>IF(I13=MIN(I13,I23),"Make",IF(I23=MIN(I13,I23),"Buy","None"))</f>
        <v>Make</v>
      </c>
      <c r="F3" s="53"/>
      <c r="G3" s="9"/>
      <c r="H3" s="6"/>
      <c r="I3" s="7"/>
      <c r="K3" s="1"/>
    </row>
    <row r="4" spans="2:11" ht="25.05" customHeight="1" thickBot="1" x14ac:dyDescent="0.35">
      <c r="B4" s="2"/>
      <c r="C4" s="37" t="s">
        <v>10</v>
      </c>
      <c r="D4" s="54" t="s">
        <v>11</v>
      </c>
      <c r="E4" s="54"/>
      <c r="F4" s="54"/>
      <c r="G4" s="54"/>
      <c r="H4" s="54"/>
      <c r="I4" s="8" t="s">
        <v>4</v>
      </c>
    </row>
    <row r="5" spans="2:11" ht="25.05" customHeight="1" thickBot="1" x14ac:dyDescent="0.35">
      <c r="B5" s="26" t="s">
        <v>15</v>
      </c>
      <c r="C5" s="27" t="s">
        <v>26</v>
      </c>
      <c r="D5" s="27" t="s">
        <v>27</v>
      </c>
      <c r="E5" s="27" t="s">
        <v>28</v>
      </c>
      <c r="F5" s="27" t="s">
        <v>29</v>
      </c>
      <c r="G5" s="27" t="s">
        <v>30</v>
      </c>
      <c r="H5" s="27" t="s">
        <v>31</v>
      </c>
      <c r="I5" s="10"/>
    </row>
    <row r="6" spans="2:11" ht="25.05" customHeight="1" x14ac:dyDescent="0.3">
      <c r="B6" s="29" t="s">
        <v>0</v>
      </c>
      <c r="C6" s="30">
        <v>1500</v>
      </c>
      <c r="D6" s="30"/>
      <c r="E6" s="30"/>
      <c r="F6" s="30"/>
      <c r="G6" s="30"/>
      <c r="H6" s="30"/>
      <c r="I6" s="42">
        <f t="shared" ref="I6:I13" si="0">SUM(C6:H6)</f>
        <v>1500</v>
      </c>
      <c r="K6" s="12"/>
    </row>
    <row r="7" spans="2:11" ht="25.05" customHeight="1" x14ac:dyDescent="0.3">
      <c r="B7" s="31" t="s">
        <v>1</v>
      </c>
      <c r="C7" s="32">
        <v>200</v>
      </c>
      <c r="D7" s="32">
        <v>100</v>
      </c>
      <c r="E7" s="32"/>
      <c r="F7" s="32"/>
      <c r="G7" s="32"/>
      <c r="H7" s="32"/>
      <c r="I7" s="43">
        <f t="shared" si="0"/>
        <v>300</v>
      </c>
    </row>
    <row r="8" spans="2:11" ht="25.05" customHeight="1" x14ac:dyDescent="0.3">
      <c r="B8" s="31" t="s">
        <v>2</v>
      </c>
      <c r="C8" s="32"/>
      <c r="D8" s="32">
        <v>50</v>
      </c>
      <c r="E8" s="32"/>
      <c r="F8" s="32"/>
      <c r="G8" s="32"/>
      <c r="H8" s="32"/>
      <c r="I8" s="43">
        <f t="shared" si="0"/>
        <v>50</v>
      </c>
    </row>
    <row r="9" spans="2:11" ht="25.05" customHeight="1" x14ac:dyDescent="0.3">
      <c r="B9" s="31" t="s">
        <v>3</v>
      </c>
      <c r="C9" s="32"/>
      <c r="D9" s="32"/>
      <c r="E9" s="32">
        <v>100</v>
      </c>
      <c r="F9" s="32"/>
      <c r="G9" s="32"/>
      <c r="H9" s="32"/>
      <c r="I9" s="43">
        <f t="shared" si="0"/>
        <v>100</v>
      </c>
    </row>
    <row r="10" spans="2:11" ht="25.05" customHeight="1" x14ac:dyDescent="0.3">
      <c r="B10" s="31" t="s">
        <v>13</v>
      </c>
      <c r="C10" s="32"/>
      <c r="D10" s="32">
        <v>50</v>
      </c>
      <c r="E10" s="32">
        <v>50</v>
      </c>
      <c r="F10" s="32">
        <v>50</v>
      </c>
      <c r="G10" s="32">
        <v>100</v>
      </c>
      <c r="H10" s="32">
        <v>200</v>
      </c>
      <c r="I10" s="43">
        <f t="shared" si="0"/>
        <v>450</v>
      </c>
    </row>
    <row r="11" spans="2:11" ht="25.05" customHeight="1" x14ac:dyDescent="0.3">
      <c r="B11" s="31"/>
      <c r="C11" s="33"/>
      <c r="D11" s="32"/>
      <c r="E11" s="32"/>
      <c r="F11" s="32"/>
      <c r="G11" s="32"/>
      <c r="H11" s="32"/>
      <c r="I11" s="43">
        <f t="shared" si="0"/>
        <v>0</v>
      </c>
    </row>
    <row r="12" spans="2:11" ht="25.05" customHeight="1" x14ac:dyDescent="0.3">
      <c r="B12" s="31"/>
      <c r="C12" s="33"/>
      <c r="D12" s="32"/>
      <c r="E12" s="32"/>
      <c r="F12" s="32"/>
      <c r="G12" s="32"/>
      <c r="H12" s="32"/>
      <c r="I12" s="43">
        <f t="shared" si="0"/>
        <v>0</v>
      </c>
    </row>
    <row r="13" spans="2:11" ht="25.05" customHeight="1" thickBot="1" x14ac:dyDescent="0.35">
      <c r="B13" s="34" t="s">
        <v>4</v>
      </c>
      <c r="C13" s="35">
        <f>SUM(C6:C12)</f>
        <v>1700</v>
      </c>
      <c r="D13" s="35">
        <f t="shared" ref="D13:H13" si="1">SUM(D6:D12)</f>
        <v>200</v>
      </c>
      <c r="E13" s="35">
        <f t="shared" si="1"/>
        <v>150</v>
      </c>
      <c r="F13" s="35">
        <f t="shared" si="1"/>
        <v>50</v>
      </c>
      <c r="G13" s="35">
        <f t="shared" si="1"/>
        <v>100</v>
      </c>
      <c r="H13" s="35">
        <f t="shared" si="1"/>
        <v>200</v>
      </c>
      <c r="I13" s="36">
        <f t="shared" si="0"/>
        <v>2400</v>
      </c>
    </row>
    <row r="14" spans="2:11" ht="25.05" customHeight="1" thickBot="1" x14ac:dyDescent="0.35">
      <c r="B14" s="46" t="s">
        <v>17</v>
      </c>
      <c r="C14" s="41">
        <f>C13</f>
        <v>1700</v>
      </c>
      <c r="D14" s="41">
        <f>SUM($C13:D13)</f>
        <v>1900</v>
      </c>
      <c r="E14" s="41">
        <f>SUM($C13:E13)</f>
        <v>2050</v>
      </c>
      <c r="F14" s="41">
        <f>SUM($C13:F13)</f>
        <v>2100</v>
      </c>
      <c r="G14" s="41">
        <f>SUM($C13:G13)</f>
        <v>2200</v>
      </c>
      <c r="H14" s="41">
        <f>SUM($C13:H13)</f>
        <v>2400</v>
      </c>
      <c r="I14" s="40"/>
    </row>
    <row r="15" spans="2:11" ht="25.05" customHeight="1" thickBot="1" x14ac:dyDescent="0.35">
      <c r="B15" s="18" t="s">
        <v>16</v>
      </c>
      <c r="C15" s="13" t="s">
        <v>26</v>
      </c>
      <c r="D15" s="14" t="s">
        <v>27</v>
      </c>
      <c r="E15" s="14" t="s">
        <v>28</v>
      </c>
      <c r="F15" s="14" t="s">
        <v>29</v>
      </c>
      <c r="G15" s="14" t="s">
        <v>30</v>
      </c>
      <c r="H15" s="14" t="s">
        <v>31</v>
      </c>
      <c r="I15" s="11"/>
    </row>
    <row r="16" spans="2:11" ht="25.05" customHeight="1" x14ac:dyDescent="0.3">
      <c r="B16" s="29" t="s">
        <v>7</v>
      </c>
      <c r="C16" s="30">
        <v>1000</v>
      </c>
      <c r="D16" s="30"/>
      <c r="E16" s="30"/>
      <c r="F16" s="30"/>
      <c r="G16" s="30"/>
      <c r="H16" s="30"/>
      <c r="I16" s="44">
        <f t="shared" ref="I16:I22" si="2">SUM(C16:H16)</f>
        <v>1000</v>
      </c>
    </row>
    <row r="17" spans="2:11" ht="25.05" customHeight="1" x14ac:dyDescent="0.3">
      <c r="B17" s="31" t="s">
        <v>6</v>
      </c>
      <c r="C17" s="32">
        <v>200</v>
      </c>
      <c r="D17" s="32"/>
      <c r="E17" s="32"/>
      <c r="F17" s="32"/>
      <c r="G17" s="32"/>
      <c r="H17" s="32"/>
      <c r="I17" s="45">
        <f t="shared" si="2"/>
        <v>200</v>
      </c>
    </row>
    <row r="18" spans="2:11" ht="25.05" customHeight="1" x14ac:dyDescent="0.3">
      <c r="B18" s="31" t="s">
        <v>12</v>
      </c>
      <c r="C18" s="32">
        <v>200</v>
      </c>
      <c r="D18" s="32"/>
      <c r="E18" s="32"/>
      <c r="F18" s="32"/>
      <c r="G18" s="32"/>
      <c r="H18" s="32"/>
      <c r="I18" s="45">
        <f t="shared" si="2"/>
        <v>200</v>
      </c>
      <c r="J18" s="25"/>
      <c r="K18" s="12"/>
    </row>
    <row r="19" spans="2:11" ht="25.05" customHeight="1" x14ac:dyDescent="0.3">
      <c r="B19" s="31" t="s">
        <v>8</v>
      </c>
      <c r="C19" s="32"/>
      <c r="D19" s="32">
        <v>100</v>
      </c>
      <c r="E19" s="32">
        <v>300</v>
      </c>
      <c r="F19" s="32">
        <v>400</v>
      </c>
      <c r="G19" s="32"/>
      <c r="H19" s="32"/>
      <c r="I19" s="45">
        <f t="shared" si="2"/>
        <v>800</v>
      </c>
      <c r="K19" s="48" t="s">
        <v>33</v>
      </c>
    </row>
    <row r="20" spans="2:11" ht="25.05" customHeight="1" x14ac:dyDescent="0.3">
      <c r="B20" s="31" t="s">
        <v>9</v>
      </c>
      <c r="C20" s="32"/>
      <c r="D20" s="32">
        <v>100</v>
      </c>
      <c r="E20" s="32">
        <v>100</v>
      </c>
      <c r="F20" s="32">
        <v>100</v>
      </c>
      <c r="G20" s="32">
        <v>100</v>
      </c>
      <c r="H20" s="32">
        <v>100</v>
      </c>
      <c r="I20" s="45">
        <f t="shared" si="2"/>
        <v>500</v>
      </c>
      <c r="K20" s="48" t="s">
        <v>32</v>
      </c>
    </row>
    <row r="21" spans="2:11" ht="25.05" customHeight="1" x14ac:dyDescent="0.3">
      <c r="B21" s="31"/>
      <c r="C21" s="32"/>
      <c r="D21" s="32"/>
      <c r="E21" s="32"/>
      <c r="F21" s="32"/>
      <c r="G21" s="32"/>
      <c r="H21" s="32"/>
      <c r="I21" s="45">
        <f t="shared" si="2"/>
        <v>0</v>
      </c>
    </row>
    <row r="22" spans="2:11" ht="25.05" customHeight="1" x14ac:dyDescent="0.3">
      <c r="B22" s="31"/>
      <c r="C22" s="32"/>
      <c r="D22" s="32"/>
      <c r="E22" s="32"/>
      <c r="F22" s="32"/>
      <c r="G22" s="32"/>
      <c r="H22" s="32"/>
      <c r="I22" s="45">
        <f t="shared" si="2"/>
        <v>0</v>
      </c>
    </row>
    <row r="23" spans="2:11" ht="25.05" customHeight="1" thickBot="1" x14ac:dyDescent="0.35">
      <c r="B23" s="15" t="s">
        <v>4</v>
      </c>
      <c r="C23" s="16">
        <f>SUM(C16:C22)</f>
        <v>1400</v>
      </c>
      <c r="D23" s="16">
        <f t="shared" ref="D23:H23" si="3">SUM(D16:D22)</f>
        <v>200</v>
      </c>
      <c r="E23" s="16">
        <f t="shared" si="3"/>
        <v>400</v>
      </c>
      <c r="F23" s="16">
        <f t="shared" si="3"/>
        <v>500</v>
      </c>
      <c r="G23" s="16">
        <f t="shared" si="3"/>
        <v>100</v>
      </c>
      <c r="H23" s="16">
        <f t="shared" si="3"/>
        <v>100</v>
      </c>
      <c r="I23" s="17">
        <f>SUM(I16:I22)</f>
        <v>2700</v>
      </c>
    </row>
    <row r="24" spans="2:11" ht="25.05" customHeight="1" thickBot="1" x14ac:dyDescent="0.35">
      <c r="B24" s="47" t="s">
        <v>17</v>
      </c>
      <c r="C24" s="41">
        <f>C23</f>
        <v>1400</v>
      </c>
      <c r="D24" s="41">
        <f>SUM($C23:D23)</f>
        <v>1600</v>
      </c>
      <c r="E24" s="41">
        <f>SUM($C23:E23)</f>
        <v>2000</v>
      </c>
      <c r="F24" s="41">
        <f>SUM($C23:F23)</f>
        <v>2500</v>
      </c>
      <c r="G24" s="41">
        <f>SUM($C23:G23)</f>
        <v>2600</v>
      </c>
      <c r="H24" s="41">
        <f>SUM($C23:H23)</f>
        <v>2700</v>
      </c>
      <c r="I24" s="49"/>
    </row>
  </sheetData>
  <mergeCells count="3">
    <mergeCell ref="B2:I2"/>
    <mergeCell ref="E3:F3"/>
    <mergeCell ref="D4:H4"/>
  </mergeCells>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34"/>
  <sheetViews>
    <sheetView showGridLines="0" zoomScaleNormal="100" workbookViewId="0">
      <selection activeCell="B45" sqref="B45"/>
    </sheetView>
  </sheetViews>
  <sheetFormatPr defaultRowHeight="14.4" x14ac:dyDescent="0.3"/>
  <cols>
    <col min="1" max="1" width="1.6640625" customWidth="1"/>
    <col min="2" max="2" width="26.88671875" bestFit="1" customWidth="1"/>
    <col min="3" max="8" width="12.77734375" customWidth="1"/>
    <col min="9" max="9" width="11.88671875" bestFit="1" customWidth="1"/>
    <col min="11" max="11" width="11.33203125" bestFit="1" customWidth="1"/>
  </cols>
  <sheetData>
    <row r="1" spans="2:11" ht="8.4" customHeight="1" thickBot="1" x14ac:dyDescent="0.35"/>
    <row r="2" spans="2:11" ht="33.6" customHeight="1" x14ac:dyDescent="0.3">
      <c r="B2" s="50" t="s">
        <v>5</v>
      </c>
      <c r="C2" s="51"/>
      <c r="D2" s="51"/>
      <c r="E2" s="51"/>
      <c r="F2" s="51"/>
      <c r="G2" s="51"/>
      <c r="H2" s="51"/>
      <c r="I2" s="52"/>
      <c r="K2" s="1"/>
    </row>
    <row r="3" spans="2:11" ht="38.4" customHeight="1" thickBot="1" x14ac:dyDescent="0.6">
      <c r="B3" s="3"/>
      <c r="C3" s="4"/>
      <c r="D3" s="5" t="s">
        <v>14</v>
      </c>
      <c r="E3" s="53" t="str">
        <f>IF(I13=MIN(I13,I23,I33),"Make",IF(I23=MIN(I13,I23,I33),"Buy",IF(I33=MIN(I13,I23,I33),"Other")))</f>
        <v>Make</v>
      </c>
      <c r="F3" s="53"/>
      <c r="G3" s="9"/>
      <c r="H3" s="6"/>
      <c r="I3" s="7"/>
      <c r="K3" s="1"/>
    </row>
    <row r="4" spans="2:11" ht="25.05" customHeight="1" thickBot="1" x14ac:dyDescent="0.35">
      <c r="B4" s="2"/>
      <c r="C4" s="37" t="s">
        <v>10</v>
      </c>
      <c r="D4" s="54" t="s">
        <v>11</v>
      </c>
      <c r="E4" s="54"/>
      <c r="F4" s="54"/>
      <c r="G4" s="54"/>
      <c r="H4" s="54"/>
      <c r="I4" s="8" t="s">
        <v>4</v>
      </c>
    </row>
    <row r="5" spans="2:11" ht="25.05" customHeight="1" thickBot="1" x14ac:dyDescent="0.35">
      <c r="B5" s="26" t="s">
        <v>15</v>
      </c>
      <c r="C5" s="27" t="s">
        <v>26</v>
      </c>
      <c r="D5" s="27" t="s">
        <v>27</v>
      </c>
      <c r="E5" s="27" t="s">
        <v>28</v>
      </c>
      <c r="F5" s="27" t="s">
        <v>29</v>
      </c>
      <c r="G5" s="27" t="s">
        <v>30</v>
      </c>
      <c r="H5" s="27" t="s">
        <v>31</v>
      </c>
      <c r="I5" s="10"/>
    </row>
    <row r="6" spans="2:11" ht="25.05" customHeight="1" x14ac:dyDescent="0.3">
      <c r="B6" s="29" t="s">
        <v>0</v>
      </c>
      <c r="C6" s="30">
        <v>1500</v>
      </c>
      <c r="D6" s="30"/>
      <c r="E6" s="30"/>
      <c r="F6" s="30"/>
      <c r="G6" s="30"/>
      <c r="H6" s="30"/>
      <c r="I6" s="42">
        <f t="shared" ref="I6:I13" si="0">SUM(C6:H6)</f>
        <v>1500</v>
      </c>
      <c r="K6" s="12"/>
    </row>
    <row r="7" spans="2:11" ht="25.05" customHeight="1" x14ac:dyDescent="0.3">
      <c r="B7" s="31" t="s">
        <v>1</v>
      </c>
      <c r="C7" s="32">
        <v>200</v>
      </c>
      <c r="D7" s="32">
        <v>100</v>
      </c>
      <c r="E7" s="32"/>
      <c r="F7" s="32"/>
      <c r="G7" s="32"/>
      <c r="H7" s="32"/>
      <c r="I7" s="43">
        <f t="shared" si="0"/>
        <v>300</v>
      </c>
    </row>
    <row r="8" spans="2:11" ht="25.05" customHeight="1" x14ac:dyDescent="0.3">
      <c r="B8" s="31" t="s">
        <v>2</v>
      </c>
      <c r="C8" s="32"/>
      <c r="D8" s="32">
        <v>50</v>
      </c>
      <c r="E8" s="32"/>
      <c r="F8" s="32"/>
      <c r="G8" s="32"/>
      <c r="H8" s="32"/>
      <c r="I8" s="43">
        <f t="shared" si="0"/>
        <v>50</v>
      </c>
    </row>
    <row r="9" spans="2:11" ht="25.05" customHeight="1" x14ac:dyDescent="0.3">
      <c r="B9" s="31" t="s">
        <v>3</v>
      </c>
      <c r="C9" s="32"/>
      <c r="D9" s="32"/>
      <c r="E9" s="32">
        <v>100</v>
      </c>
      <c r="F9" s="32"/>
      <c r="G9" s="32"/>
      <c r="H9" s="32"/>
      <c r="I9" s="43">
        <f t="shared" si="0"/>
        <v>100</v>
      </c>
    </row>
    <row r="10" spans="2:11" ht="25.05" customHeight="1" x14ac:dyDescent="0.3">
      <c r="B10" s="31" t="s">
        <v>13</v>
      </c>
      <c r="C10" s="32"/>
      <c r="D10" s="32">
        <v>50</v>
      </c>
      <c r="E10" s="32">
        <v>50</v>
      </c>
      <c r="F10" s="32">
        <v>50</v>
      </c>
      <c r="G10" s="32">
        <v>100</v>
      </c>
      <c r="H10" s="32">
        <v>200</v>
      </c>
      <c r="I10" s="43">
        <f t="shared" si="0"/>
        <v>450</v>
      </c>
    </row>
    <row r="11" spans="2:11" ht="25.05" customHeight="1" x14ac:dyDescent="0.3">
      <c r="B11" s="31"/>
      <c r="C11" s="33"/>
      <c r="D11" s="32"/>
      <c r="E11" s="32"/>
      <c r="F11" s="32"/>
      <c r="G11" s="32"/>
      <c r="H11" s="32"/>
      <c r="I11" s="43">
        <f t="shared" si="0"/>
        <v>0</v>
      </c>
    </row>
    <row r="12" spans="2:11" ht="25.05" customHeight="1" x14ac:dyDescent="0.3">
      <c r="B12" s="31"/>
      <c r="C12" s="33"/>
      <c r="D12" s="32"/>
      <c r="E12" s="32"/>
      <c r="F12" s="32"/>
      <c r="G12" s="32"/>
      <c r="H12" s="32"/>
      <c r="I12" s="43">
        <f t="shared" si="0"/>
        <v>0</v>
      </c>
    </row>
    <row r="13" spans="2:11" ht="25.05" customHeight="1" thickBot="1" x14ac:dyDescent="0.35">
      <c r="B13" s="34" t="s">
        <v>4</v>
      </c>
      <c r="C13" s="35">
        <f>SUM(C6:C12)</f>
        <v>1700</v>
      </c>
      <c r="D13" s="35">
        <f t="shared" ref="D13:H13" si="1">SUM(D6:D12)</f>
        <v>200</v>
      </c>
      <c r="E13" s="35">
        <f t="shared" si="1"/>
        <v>150</v>
      </c>
      <c r="F13" s="35">
        <f t="shared" si="1"/>
        <v>50</v>
      </c>
      <c r="G13" s="35">
        <f t="shared" si="1"/>
        <v>100</v>
      </c>
      <c r="H13" s="35">
        <f t="shared" si="1"/>
        <v>200</v>
      </c>
      <c r="I13" s="36">
        <f t="shared" si="0"/>
        <v>2400</v>
      </c>
    </row>
    <row r="14" spans="2:11" ht="25.05" customHeight="1" thickBot="1" x14ac:dyDescent="0.35">
      <c r="B14" s="46" t="s">
        <v>17</v>
      </c>
      <c r="C14" s="41">
        <f>C13</f>
        <v>1700</v>
      </c>
      <c r="D14" s="41">
        <f>SUM($C13:D13)</f>
        <v>1900</v>
      </c>
      <c r="E14" s="41">
        <f>SUM($C13:E13)</f>
        <v>2050</v>
      </c>
      <c r="F14" s="41">
        <f>SUM($C13:F13)</f>
        <v>2100</v>
      </c>
      <c r="G14" s="41">
        <f>SUM($C13:G13)</f>
        <v>2200</v>
      </c>
      <c r="H14" s="41">
        <f>SUM($C13:H13)</f>
        <v>2400</v>
      </c>
      <c r="I14" s="40"/>
    </row>
    <row r="15" spans="2:11" ht="25.05" customHeight="1" thickBot="1" x14ac:dyDescent="0.35">
      <c r="B15" s="18" t="s">
        <v>16</v>
      </c>
      <c r="C15" s="13" t="s">
        <v>26</v>
      </c>
      <c r="D15" s="14" t="s">
        <v>27</v>
      </c>
      <c r="E15" s="14" t="s">
        <v>28</v>
      </c>
      <c r="F15" s="14" t="s">
        <v>29</v>
      </c>
      <c r="G15" s="14" t="s">
        <v>30</v>
      </c>
      <c r="H15" s="14" t="s">
        <v>31</v>
      </c>
      <c r="I15" s="11"/>
    </row>
    <row r="16" spans="2:11" ht="25.05" customHeight="1" x14ac:dyDescent="0.3">
      <c r="B16" s="29" t="s">
        <v>7</v>
      </c>
      <c r="C16" s="30">
        <v>1000</v>
      </c>
      <c r="D16" s="30"/>
      <c r="E16" s="30"/>
      <c r="F16" s="30"/>
      <c r="G16" s="30"/>
      <c r="H16" s="30"/>
      <c r="I16" s="44">
        <f t="shared" ref="I16:I22" si="2">SUM(C16:H16)</f>
        <v>1000</v>
      </c>
    </row>
    <row r="17" spans="2:11" ht="25.05" customHeight="1" x14ac:dyDescent="0.3">
      <c r="B17" s="31" t="s">
        <v>6</v>
      </c>
      <c r="C17" s="32">
        <v>200</v>
      </c>
      <c r="D17" s="32"/>
      <c r="E17" s="32"/>
      <c r="F17" s="32"/>
      <c r="G17" s="32"/>
      <c r="H17" s="32"/>
      <c r="I17" s="45">
        <f t="shared" si="2"/>
        <v>200</v>
      </c>
    </row>
    <row r="18" spans="2:11" ht="25.05" customHeight="1" x14ac:dyDescent="0.3">
      <c r="B18" s="31" t="s">
        <v>12</v>
      </c>
      <c r="C18" s="32">
        <v>200</v>
      </c>
      <c r="D18" s="32"/>
      <c r="E18" s="32"/>
      <c r="F18" s="32"/>
      <c r="G18" s="32"/>
      <c r="H18" s="32"/>
      <c r="I18" s="45">
        <f t="shared" si="2"/>
        <v>200</v>
      </c>
      <c r="J18" s="25"/>
      <c r="K18" s="12"/>
    </row>
    <row r="19" spans="2:11" ht="25.05" customHeight="1" x14ac:dyDescent="0.3">
      <c r="B19" s="31" t="s">
        <v>8</v>
      </c>
      <c r="C19" s="32"/>
      <c r="D19" s="32">
        <v>100</v>
      </c>
      <c r="E19" s="32">
        <v>300</v>
      </c>
      <c r="F19" s="32">
        <v>400</v>
      </c>
      <c r="G19" s="32"/>
      <c r="H19" s="32"/>
      <c r="I19" s="45">
        <f t="shared" si="2"/>
        <v>800</v>
      </c>
      <c r="K19" s="48" t="s">
        <v>33</v>
      </c>
    </row>
    <row r="20" spans="2:11" ht="25.05" customHeight="1" x14ac:dyDescent="0.3">
      <c r="B20" s="31" t="s">
        <v>9</v>
      </c>
      <c r="C20" s="32"/>
      <c r="D20" s="32">
        <v>100</v>
      </c>
      <c r="E20" s="32">
        <v>100</v>
      </c>
      <c r="F20" s="32">
        <v>100</v>
      </c>
      <c r="G20" s="32">
        <v>100</v>
      </c>
      <c r="H20" s="32">
        <v>100</v>
      </c>
      <c r="I20" s="45">
        <f t="shared" si="2"/>
        <v>500</v>
      </c>
      <c r="K20" s="48" t="s">
        <v>32</v>
      </c>
    </row>
    <row r="21" spans="2:11" ht="25.05" customHeight="1" x14ac:dyDescent="0.3">
      <c r="B21" s="31"/>
      <c r="C21" s="32"/>
      <c r="D21" s="32"/>
      <c r="E21" s="32"/>
      <c r="F21" s="32"/>
      <c r="G21" s="32"/>
      <c r="H21" s="32"/>
      <c r="I21" s="45">
        <f t="shared" si="2"/>
        <v>0</v>
      </c>
    </row>
    <row r="22" spans="2:11" ht="25.05" customHeight="1" x14ac:dyDescent="0.3">
      <c r="B22" s="31"/>
      <c r="C22" s="32"/>
      <c r="D22" s="32"/>
      <c r="E22" s="32"/>
      <c r="F22" s="32"/>
      <c r="G22" s="32"/>
      <c r="H22" s="32"/>
      <c r="I22" s="45">
        <f t="shared" si="2"/>
        <v>0</v>
      </c>
    </row>
    <row r="23" spans="2:11" ht="25.05" customHeight="1" thickBot="1" x14ac:dyDescent="0.35">
      <c r="B23" s="15" t="s">
        <v>4</v>
      </c>
      <c r="C23" s="16">
        <f>SUM(C16:C22)</f>
        <v>1400</v>
      </c>
      <c r="D23" s="16">
        <f t="shared" ref="D23:H23" si="3">SUM(D16:D22)</f>
        <v>200</v>
      </c>
      <c r="E23" s="16">
        <f t="shared" si="3"/>
        <v>400</v>
      </c>
      <c r="F23" s="16">
        <f t="shared" si="3"/>
        <v>500</v>
      </c>
      <c r="G23" s="16">
        <f t="shared" si="3"/>
        <v>100</v>
      </c>
      <c r="H23" s="16">
        <f t="shared" si="3"/>
        <v>100</v>
      </c>
      <c r="I23" s="17">
        <f>SUM(I16:I22)</f>
        <v>2700</v>
      </c>
    </row>
    <row r="24" spans="2:11" ht="25.05" customHeight="1" thickBot="1" x14ac:dyDescent="0.35">
      <c r="B24" s="46" t="s">
        <v>17</v>
      </c>
      <c r="C24" s="40">
        <f>C23</f>
        <v>1400</v>
      </c>
      <c r="D24" s="40">
        <f>SUM($C23:D23)</f>
        <v>1600</v>
      </c>
      <c r="E24" s="40">
        <f>SUM($C23:E23)</f>
        <v>2000</v>
      </c>
      <c r="F24" s="40">
        <f>SUM($C23:F23)</f>
        <v>2500</v>
      </c>
      <c r="G24" s="40">
        <f>SUM($C23:G23)</f>
        <v>2600</v>
      </c>
      <c r="H24" s="40">
        <f>SUM($C23:H23)</f>
        <v>2700</v>
      </c>
      <c r="I24" s="40"/>
    </row>
    <row r="25" spans="2:11" ht="25.05" customHeight="1" thickBot="1" x14ac:dyDescent="0.35">
      <c r="B25" s="26" t="s">
        <v>18</v>
      </c>
      <c r="C25" s="27" t="s">
        <v>26</v>
      </c>
      <c r="D25" s="27" t="s">
        <v>27</v>
      </c>
      <c r="E25" s="27" t="s">
        <v>28</v>
      </c>
      <c r="F25" s="27" t="s">
        <v>29</v>
      </c>
      <c r="G25" s="27" t="s">
        <v>30</v>
      </c>
      <c r="H25" s="27" t="s">
        <v>31</v>
      </c>
      <c r="I25" s="28"/>
    </row>
    <row r="26" spans="2:11" ht="25.05" customHeight="1" x14ac:dyDescent="0.3">
      <c r="B26" s="29" t="s">
        <v>0</v>
      </c>
      <c r="C26" s="30">
        <v>700</v>
      </c>
      <c r="D26" s="30"/>
      <c r="E26" s="30"/>
      <c r="F26" s="30"/>
      <c r="G26" s="30"/>
      <c r="H26" s="30"/>
      <c r="I26" s="42">
        <f>SUM(C26:H26)</f>
        <v>700</v>
      </c>
    </row>
    <row r="27" spans="2:11" ht="25.05" customHeight="1" x14ac:dyDescent="0.3">
      <c r="B27" s="31" t="s">
        <v>1</v>
      </c>
      <c r="C27" s="32">
        <v>200</v>
      </c>
      <c r="D27" s="32"/>
      <c r="E27" s="32"/>
      <c r="F27" s="32"/>
      <c r="G27" s="32"/>
      <c r="H27" s="32"/>
      <c r="I27" s="43">
        <f t="shared" ref="I27:I32" si="4">SUM(C27:H27)</f>
        <v>200</v>
      </c>
    </row>
    <row r="28" spans="2:11" ht="25.05" customHeight="1" x14ac:dyDescent="0.3">
      <c r="B28" s="31" t="s">
        <v>2</v>
      </c>
      <c r="C28" s="32">
        <v>200</v>
      </c>
      <c r="D28" s="32"/>
      <c r="E28" s="32"/>
      <c r="F28" s="32"/>
      <c r="G28" s="32"/>
      <c r="H28" s="32"/>
      <c r="I28" s="43">
        <f t="shared" si="4"/>
        <v>200</v>
      </c>
    </row>
    <row r="29" spans="2:11" ht="25.05" customHeight="1" x14ac:dyDescent="0.3">
      <c r="B29" s="31" t="s">
        <v>3</v>
      </c>
      <c r="C29" s="32"/>
      <c r="D29" s="32">
        <v>200</v>
      </c>
      <c r="E29" s="32">
        <v>400</v>
      </c>
      <c r="F29" s="32">
        <v>500</v>
      </c>
      <c r="G29" s="32">
        <v>100</v>
      </c>
      <c r="H29" s="32"/>
      <c r="I29" s="43">
        <f t="shared" si="4"/>
        <v>1200</v>
      </c>
    </row>
    <row r="30" spans="2:11" ht="25.05" customHeight="1" x14ac:dyDescent="0.3">
      <c r="B30" s="31"/>
      <c r="C30" s="33"/>
      <c r="D30" s="32">
        <v>100</v>
      </c>
      <c r="E30" s="32">
        <v>100</v>
      </c>
      <c r="F30" s="32">
        <v>100</v>
      </c>
      <c r="G30" s="32">
        <v>200</v>
      </c>
      <c r="H30" s="32">
        <v>200</v>
      </c>
      <c r="I30" s="43">
        <f t="shared" si="4"/>
        <v>700</v>
      </c>
    </row>
    <row r="31" spans="2:11" ht="25.05" customHeight="1" x14ac:dyDescent="0.3">
      <c r="B31" s="31"/>
      <c r="C31" s="33"/>
      <c r="D31" s="32"/>
      <c r="E31" s="32"/>
      <c r="F31" s="32"/>
      <c r="G31" s="32"/>
      <c r="H31" s="32"/>
      <c r="I31" s="43">
        <f t="shared" si="4"/>
        <v>0</v>
      </c>
    </row>
    <row r="32" spans="2:11" ht="25.05" customHeight="1" x14ac:dyDescent="0.3">
      <c r="B32" s="31"/>
      <c r="C32" s="33"/>
      <c r="D32" s="32"/>
      <c r="E32" s="32"/>
      <c r="F32" s="32"/>
      <c r="G32" s="32"/>
      <c r="H32" s="32"/>
      <c r="I32" s="43">
        <f t="shared" si="4"/>
        <v>0</v>
      </c>
    </row>
    <row r="33" spans="2:9" ht="25.05" customHeight="1" thickBot="1" x14ac:dyDescent="0.35">
      <c r="B33" s="34" t="s">
        <v>4</v>
      </c>
      <c r="C33" s="35">
        <f>SUM(C26:C32)</f>
        <v>1100</v>
      </c>
      <c r="D33" s="35">
        <f t="shared" ref="D33:H33" si="5">SUM(D26:D32)</f>
        <v>300</v>
      </c>
      <c r="E33" s="35">
        <f t="shared" si="5"/>
        <v>500</v>
      </c>
      <c r="F33" s="35">
        <f t="shared" si="5"/>
        <v>600</v>
      </c>
      <c r="G33" s="35">
        <f t="shared" si="5"/>
        <v>300</v>
      </c>
      <c r="H33" s="35">
        <f t="shared" si="5"/>
        <v>200</v>
      </c>
      <c r="I33" s="36">
        <f>SUM(I26:I32)</f>
        <v>3000</v>
      </c>
    </row>
    <row r="34" spans="2:9" ht="25.05" customHeight="1" thickBot="1" x14ac:dyDescent="0.35">
      <c r="B34" s="47" t="s">
        <v>17</v>
      </c>
      <c r="C34" s="38">
        <f>C33</f>
        <v>1100</v>
      </c>
      <c r="D34" s="38">
        <f>SUM($C33:D33)</f>
        <v>1400</v>
      </c>
      <c r="E34" s="38">
        <f>SUM($C33:E33)</f>
        <v>1900</v>
      </c>
      <c r="F34" s="38">
        <f>SUM($C33:F33)</f>
        <v>2500</v>
      </c>
      <c r="G34" s="38">
        <f>SUM($C33:G33)</f>
        <v>2800</v>
      </c>
      <c r="H34" s="38">
        <f>SUM($C33:H33)</f>
        <v>3000</v>
      </c>
      <c r="I34" s="39"/>
    </row>
  </sheetData>
  <mergeCells count="3">
    <mergeCell ref="E3:F3"/>
    <mergeCell ref="B2:I2"/>
    <mergeCell ref="D4:H4"/>
  </mergeCells>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19"/>
      <c r="B1" s="20" t="s">
        <v>19</v>
      </c>
      <c r="C1" s="19"/>
    </row>
    <row r="2" spans="1:3" ht="15" x14ac:dyDescent="0.3">
      <c r="A2" s="23"/>
      <c r="B2" s="23"/>
      <c r="C2" s="21"/>
    </row>
    <row r="3" spans="1:3" ht="19.2" customHeight="1" x14ac:dyDescent="0.3">
      <c r="A3" s="23"/>
      <c r="B3" s="23" t="s">
        <v>34</v>
      </c>
      <c r="C3" s="21"/>
    </row>
    <row r="4" spans="1:3" ht="15" x14ac:dyDescent="0.3">
      <c r="A4" s="23"/>
      <c r="B4" s="23"/>
      <c r="C4" s="21"/>
    </row>
    <row r="5" spans="1:3" ht="45" x14ac:dyDescent="0.3">
      <c r="A5" s="23"/>
      <c r="B5" s="22" t="s">
        <v>20</v>
      </c>
      <c r="C5" s="21"/>
    </row>
    <row r="6" spans="1:3" ht="15" x14ac:dyDescent="0.3">
      <c r="A6" s="23"/>
      <c r="B6" s="23"/>
      <c r="C6" s="21"/>
    </row>
    <row r="7" spans="1:3" ht="30" x14ac:dyDescent="0.3">
      <c r="A7" s="23"/>
      <c r="B7" s="22" t="s">
        <v>21</v>
      </c>
      <c r="C7" s="21"/>
    </row>
    <row r="8" spans="1:3" ht="15" x14ac:dyDescent="0.3">
      <c r="A8" s="23"/>
      <c r="B8" s="23"/>
      <c r="C8" s="21"/>
    </row>
    <row r="9" spans="1:3" ht="45.6" x14ac:dyDescent="0.3">
      <c r="A9" s="23"/>
      <c r="B9" s="22" t="s">
        <v>22</v>
      </c>
      <c r="C9" s="21"/>
    </row>
    <row r="10" spans="1:3" ht="15" x14ac:dyDescent="0.3">
      <c r="A10" s="23"/>
      <c r="B10" s="23"/>
      <c r="C10" s="21"/>
    </row>
    <row r="11" spans="1:3" ht="15" x14ac:dyDescent="0.3">
      <c r="A11" s="23"/>
      <c r="B11" s="23" t="s">
        <v>25</v>
      </c>
      <c r="C11" s="21"/>
    </row>
    <row r="12" spans="1:3" ht="15" x14ac:dyDescent="0.3">
      <c r="A12" s="23"/>
      <c r="B12" s="23"/>
      <c r="C12" s="21"/>
    </row>
    <row r="13" spans="1:3" ht="24" customHeight="1" thickBot="1" x14ac:dyDescent="0.35">
      <c r="A13" s="23"/>
      <c r="B13" s="24" t="s">
        <v>24</v>
      </c>
      <c r="C13" s="21"/>
    </row>
    <row r="14" spans="1:3" ht="15" x14ac:dyDescent="0.3">
      <c r="A14" s="23"/>
      <c r="B14" s="23"/>
      <c r="C14" s="21"/>
    </row>
    <row r="15" spans="1:3" ht="90" x14ac:dyDescent="0.3">
      <c r="A15" s="23"/>
      <c r="B15" s="22" t="s">
        <v>23</v>
      </c>
      <c r="C15" s="21"/>
    </row>
    <row r="16" spans="1:3" ht="15" x14ac:dyDescent="0.3">
      <c r="A16" s="23"/>
      <c r="B16" s="23"/>
      <c r="C16" s="21"/>
    </row>
    <row r="17" spans="1:3" ht="15" x14ac:dyDescent="0.3">
      <c r="A17" s="23"/>
      <c r="B17" s="23"/>
      <c r="C17" s="21"/>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Make or Buy Analysis</vt:lpstr>
      <vt:lpstr>Make Buy or Other Analysis</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2024-03-13T02:30:30Z</dcterms:created>
  <dcterms:modified xsi:type="dcterms:W3CDTF">2024-03-13T02:30:39Z</dcterms:modified>
</cp:coreProperties>
</file>